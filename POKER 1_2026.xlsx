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NTUACAO" sheetId="1" r:id="rId4"/>
    <sheet state="visible" name="AUX" sheetId="2" r:id="rId5"/>
  </sheets>
  <definedNames/>
  <calcPr/>
</workbook>
</file>

<file path=xl/sharedStrings.xml><?xml version="1.0" encoding="utf-8"?>
<sst xmlns="http://schemas.openxmlformats.org/spreadsheetml/2006/main" count="888" uniqueCount="39">
  <si>
    <t>POSIÇÃO</t>
  </si>
  <si>
    <t>PARTICIPANTE</t>
  </si>
  <si>
    <t>PONTOS</t>
  </si>
  <si>
    <t>ALMAS</t>
  </si>
  <si>
    <t>SERGIO</t>
  </si>
  <si>
    <t>FELIPE</t>
  </si>
  <si>
    <t>DANILO</t>
  </si>
  <si>
    <t>EDINHO</t>
  </si>
  <si>
    <t>NINO</t>
  </si>
  <si>
    <t>CARLÃO</t>
  </si>
  <si>
    <t>GRANDE</t>
  </si>
  <si>
    <t>ENIO</t>
  </si>
  <si>
    <t>UEDA</t>
  </si>
  <si>
    <t>MICA</t>
  </si>
  <si>
    <t>TURATI</t>
  </si>
  <si>
    <t>ALEXANDRE</t>
  </si>
  <si>
    <t>-</t>
  </si>
  <si>
    <t>DATA</t>
  </si>
  <si>
    <t>QTDE</t>
  </si>
  <si>
    <t>$</t>
  </si>
  <si>
    <t>PGTO</t>
  </si>
  <si>
    <t>POS</t>
  </si>
  <si>
    <t>ALMA</t>
  </si>
  <si>
    <t>PONT</t>
  </si>
  <si>
    <t>S</t>
  </si>
  <si>
    <t>A</t>
  </si>
  <si>
    <t>TOTAL</t>
  </si>
  <si>
    <t>MESA</t>
  </si>
  <si>
    <t>02/04/26 Retirando do caixa R$39,00 para compra de um novo baralho</t>
  </si>
  <si>
    <t>PARAMETROS</t>
  </si>
  <si>
    <t>RANKING PONTUAÇÃO</t>
  </si>
  <si>
    <t>RANKING CARRASCO</t>
  </si>
  <si>
    <t>Blinds</t>
  </si>
  <si>
    <t>Fichas iniciais</t>
  </si>
  <si>
    <t>TOTAL DE PONTOS</t>
  </si>
  <si>
    <t>PREMIAÇÂO</t>
  </si>
  <si>
    <t>Valor</t>
  </si>
  <si>
    <t>Quantidade</t>
  </si>
  <si>
    <t>VALOR PARTIDA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</si>
</sst>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hh:mm"/>
  </numFmts>
  <fonts count="14">
    <font>
      <sz val="11.0"/>
      <color rgb="FF000000"/>
      <name val="Calibri"/>
    </font>
    <font>
      <b/>
      <sz val="11.0"/>
      <name val="Calibri"/>
    </font>
    <font>
      <color rgb="FF000000"/>
    </font>
    <font>
      <b/>
      <sz val="8.0"/>
      <name val="Arial"/>
    </font>
    <font>
      <sz val="11.0"/>
      <color rgb="FF000000"/>
      <name val="Inconsolata"/>
    </font>
    <font>
      <sz val="11.0"/>
      <name val="Calibri"/>
    </font>
    <font>
      <sz val="8.0"/>
      <color rgb="FF000000"/>
      <name val="Arial"/>
    </font>
    <font/>
    <font>
      <b/>
      <sz val="8.0"/>
      <color rgb="FF000000"/>
      <name val="Arial"/>
    </font>
    <font>
      <sz val="8.0"/>
      <name val="Arial"/>
    </font>
    <font>
      <b/>
      <sz val="11.0"/>
      <color rgb="FF000000"/>
      <name val="Arial"/>
    </font>
    <font>
      <b/>
      <sz val="11.0"/>
      <name val="Arial"/>
    </font>
    <font>
      <sz val="11.0"/>
      <color rgb="FF000000"/>
      <name val="Arial"/>
    </font>
    <font>
      <sz val="11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center" readingOrder="0" vertical="center"/>
    </xf>
    <xf borderId="1" fillId="2" fontId="4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2" fillId="2" fontId="6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vertical="center"/>
    </xf>
    <xf borderId="3" fillId="0" fontId="7" numFmtId="0" xfId="0" applyBorder="1" applyFont="1"/>
    <xf borderId="0" fillId="0" fontId="2" numFmtId="0" xfId="0" applyAlignment="1" applyFont="1">
      <alignment horizontal="right" readingOrder="0" vertical="bottom"/>
    </xf>
    <xf borderId="4" fillId="0" fontId="7" numFmtId="0" xfId="0" applyBorder="1" applyFont="1"/>
    <xf borderId="1" fillId="0" fontId="5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1" fillId="2" fontId="6" numFmtId="0" xfId="0" applyAlignment="1" applyBorder="1" applyFont="1">
      <alignment horizontal="center" readingOrder="0" shrinkToFit="0" vertical="center" wrapText="0"/>
    </xf>
    <xf borderId="1" fillId="2" fontId="6" numFmtId="3" xfId="0" applyAlignment="1" applyBorder="1" applyFont="1" applyNumberFormat="1">
      <alignment horizontal="center" readingOrder="0" shrinkToFit="0" vertical="center" wrapText="0"/>
    </xf>
    <xf borderId="1" fillId="2" fontId="6" numFmtId="164" xfId="0" applyAlignment="1" applyBorder="1" applyFont="1" applyNumberFormat="1">
      <alignment horizontal="center" readingOrder="0" shrinkToFit="0" vertical="center" wrapText="0"/>
    </xf>
    <xf borderId="1" fillId="2" fontId="6" numFmtId="0" xfId="0" applyAlignment="1" applyBorder="1" applyFont="1">
      <alignment horizontal="center" readingOrder="0" shrinkToFit="0" vertical="center" wrapText="0"/>
    </xf>
    <xf borderId="1" fillId="3" fontId="6" numFmtId="0" xfId="0" applyAlignment="1" applyBorder="1" applyFill="1" applyFont="1">
      <alignment horizontal="center" readingOrder="0" shrinkToFit="0" vertical="center" wrapText="0"/>
    </xf>
    <xf borderId="1" fillId="2" fontId="6" numFmtId="16" xfId="0" applyAlignment="1" applyBorder="1" applyFont="1" applyNumberFormat="1">
      <alignment horizontal="center" readingOrder="0" shrinkToFit="0" vertical="center" wrapText="0"/>
    </xf>
    <xf borderId="1" fillId="2" fontId="6" numFmtId="3" xfId="0" applyAlignment="1" applyBorder="1" applyFont="1" applyNumberFormat="1">
      <alignment horizontal="center" vertical="center"/>
    </xf>
    <xf borderId="1" fillId="2" fontId="6" numFmtId="164" xfId="0" applyAlignment="1" applyBorder="1" applyFont="1" applyNumberFormat="1">
      <alignment horizontal="center" shrinkToFit="0" vertical="center" wrapText="0"/>
    </xf>
    <xf borderId="1" fillId="3" fontId="8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/>
    </xf>
    <xf borderId="0" fillId="0" fontId="5" numFmtId="0" xfId="0" applyFont="1"/>
    <xf borderId="1" fillId="0" fontId="9" numFmtId="3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shrinkToFit="0" vertical="center" wrapText="0"/>
    </xf>
    <xf borderId="1" fillId="4" fontId="6" numFmtId="16" xfId="0" applyAlignment="1" applyBorder="1" applyFill="1" applyFont="1" applyNumberFormat="1">
      <alignment horizontal="center" readingOrder="0" shrinkToFit="0" vertical="center" wrapText="0"/>
    </xf>
    <xf borderId="1" fillId="4" fontId="6" numFmtId="3" xfId="0" applyAlignment="1" applyBorder="1" applyFont="1" applyNumberFormat="1">
      <alignment horizontal="center" vertical="center"/>
    </xf>
    <xf borderId="1" fillId="4" fontId="6" numFmtId="164" xfId="0" applyAlignment="1" applyBorder="1" applyFont="1" applyNumberFormat="1">
      <alignment horizontal="center" shrinkToFit="0" vertical="center" wrapText="0"/>
    </xf>
    <xf borderId="1" fillId="4" fontId="6" numFmtId="0" xfId="0" applyAlignment="1" applyBorder="1" applyFont="1">
      <alignment horizontal="center" readingOrder="0" shrinkToFit="0" vertical="center" wrapText="0"/>
    </xf>
    <xf borderId="1" fillId="4" fontId="8" numFmtId="0" xfId="0" applyAlignment="1" applyBorder="1" applyFont="1">
      <alignment horizontal="center" shrinkToFit="0" vertical="center" wrapText="0"/>
    </xf>
    <xf borderId="1" fillId="3" fontId="8" numFmtId="0" xfId="0" applyAlignment="1" applyBorder="1" applyFont="1">
      <alignment horizontal="center" readingOrder="0" shrinkToFit="0" vertical="center" wrapText="0"/>
    </xf>
    <xf borderId="5" fillId="3" fontId="8" numFmtId="3" xfId="0" applyAlignment="1" applyBorder="1" applyFont="1" applyNumberFormat="1">
      <alignment horizontal="center" readingOrder="0" shrinkToFit="0" vertical="center" wrapText="0"/>
    </xf>
    <xf borderId="5" fillId="3" fontId="6" numFmtId="164" xfId="0" applyAlignment="1" applyBorder="1" applyFont="1" applyNumberFormat="1">
      <alignment horizontal="center" shrinkToFit="0" vertical="center" wrapText="0"/>
    </xf>
    <xf borderId="5" fillId="3" fontId="6" numFmtId="0" xfId="0" applyAlignment="1" applyBorder="1" applyFont="1">
      <alignment horizontal="center" shrinkToFit="0" vertical="center" wrapText="0"/>
    </xf>
    <xf borderId="5" fillId="3" fontId="6" numFmtId="1" xfId="0" applyAlignment="1" applyBorder="1" applyFont="1" applyNumberFormat="1">
      <alignment horizontal="center" shrinkToFit="0" vertical="center" wrapText="0"/>
    </xf>
    <xf borderId="2" fillId="0" fontId="8" numFmtId="0" xfId="0" applyAlignment="1" applyBorder="1" applyFont="1">
      <alignment horizontal="left" readingOrder="0" shrinkToFit="0" vertical="center" wrapText="0"/>
    </xf>
    <xf borderId="2" fillId="0" fontId="8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2" fillId="0" fontId="10" numFmtId="0" xfId="0" applyAlignment="1" applyBorder="1" applyFont="1">
      <alignment horizontal="center" readingOrder="0" shrinkToFit="0" vertical="center" wrapText="0"/>
    </xf>
    <xf borderId="0" fillId="0" fontId="9" numFmtId="0" xfId="0" applyFont="1"/>
    <xf borderId="0" fillId="0" fontId="6" numFmtId="0" xfId="0" applyAlignment="1" applyFont="1">
      <alignment shrinkToFit="0" vertical="center" wrapText="0"/>
    </xf>
    <xf borderId="2" fillId="5" fontId="10" numFmtId="0" xfId="0" applyAlignment="1" applyBorder="1" applyFill="1" applyFont="1">
      <alignment horizontal="center" readingOrder="0" shrinkToFit="0" vertical="center" wrapText="0"/>
    </xf>
    <xf borderId="2" fillId="6" fontId="10" numFmtId="0" xfId="0" applyAlignment="1" applyBorder="1" applyFill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4" fillId="0" fontId="8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vertical="center"/>
    </xf>
    <xf borderId="2" fillId="0" fontId="11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shrinkToFit="0" vertical="center" wrapText="0"/>
    </xf>
    <xf borderId="2" fillId="0" fontId="10" numFmtId="165" xfId="0" applyAlignment="1" applyBorder="1" applyFont="1" applyNumberFormat="1">
      <alignment horizontal="center" readingOrder="0" shrinkToFit="0" vertical="center" wrapText="0"/>
    </xf>
    <xf borderId="2" fillId="0" fontId="12" numFmtId="0" xfId="0" applyAlignment="1" applyBorder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2" fillId="0" fontId="6" numFmtId="0" xfId="0" applyAlignment="1" applyBorder="1" applyFont="1">
      <alignment horizontal="center" readingOrder="0" shrinkToFit="0" vertical="center" wrapText="0"/>
    </xf>
    <xf borderId="2" fillId="0" fontId="6" numFmtId="164" xfId="0" applyAlignment="1" applyBorder="1" applyFont="1" applyNumberFormat="1">
      <alignment horizontal="center" readingOrder="0" shrinkToFit="0" vertical="center" wrapText="0"/>
    </xf>
    <xf borderId="2" fillId="7" fontId="12" numFmtId="0" xfId="0" applyAlignment="1" applyBorder="1" applyFill="1" applyFont="1">
      <alignment horizontal="center" readingOrder="0" shrinkToFit="0" vertical="center" wrapText="0"/>
    </xf>
    <xf borderId="2" fillId="8" fontId="12" numFmtId="0" xfId="0" applyAlignment="1" applyBorder="1" applyFill="1" applyFont="1">
      <alignment horizontal="center" readingOrder="0" shrinkToFit="0" vertical="center" wrapText="0"/>
    </xf>
    <xf borderId="1" fillId="5" fontId="12" numFmtId="0" xfId="0" applyAlignment="1" applyBorder="1" applyFont="1">
      <alignment horizontal="center" readingOrder="0" shrinkToFit="0" vertical="center" wrapText="0"/>
    </xf>
    <xf borderId="2" fillId="5" fontId="10" numFmtId="165" xfId="0" applyAlignment="1" applyBorder="1" applyFont="1" applyNumberFormat="1">
      <alignment horizontal="center" readingOrder="0" shrinkToFit="0" vertical="center" wrapText="0"/>
    </xf>
    <xf borderId="2" fillId="5" fontId="12" numFmtId="0" xfId="0" applyAlignment="1" applyBorder="1" applyFont="1">
      <alignment horizontal="center" readingOrder="0" shrinkToFit="0" vertical="center" wrapText="0"/>
    </xf>
    <xf borderId="2" fillId="6" fontId="12" numFmtId="0" xfId="0" applyAlignment="1" applyBorder="1" applyFont="1">
      <alignment horizontal="center" readingOrder="0" shrinkToFit="0" vertical="center" wrapText="0"/>
    </xf>
    <xf borderId="2" fillId="2" fontId="12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vertical="center"/>
    </xf>
    <xf borderId="1" fillId="2" fontId="12" numFmtId="0" xfId="0" applyAlignment="1" applyBorder="1" applyFont="1">
      <alignment horizontal="center" readingOrder="0" shrinkToFit="0" vertical="center" wrapText="0"/>
    </xf>
    <xf borderId="2" fillId="2" fontId="10" numFmtId="165" xfId="0" applyAlignment="1" applyBorder="1" applyFont="1" applyNumberFormat="1">
      <alignment horizontal="center" readingOrder="0" shrinkToFit="0" vertical="center" wrapText="0"/>
    </xf>
    <xf borderId="2" fillId="0" fontId="6" numFmtId="0" xfId="0" applyAlignment="1" applyBorder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7.29" defaultRowHeight="15.0"/>
  <cols>
    <col customWidth="1" min="1" max="1" width="7.0"/>
    <col customWidth="1" min="2" max="2" width="5.86"/>
    <col customWidth="1" min="3" max="3" width="10.43"/>
    <col customWidth="1" min="4" max="6" width="4.71"/>
    <col customWidth="1" min="7" max="7" width="5.71"/>
    <col customWidth="1" min="8" max="75" width="4.71"/>
  </cols>
  <sheetData>
    <row r="1" ht="13.5" customHeight="1">
      <c r="A1" s="6" t="s">
        <v>1</v>
      </c>
      <c r="B1" s="8"/>
      <c r="C1" s="10"/>
      <c r="D1" s="6" t="s">
        <v>4</v>
      </c>
      <c r="E1" s="8"/>
      <c r="F1" s="8"/>
      <c r="G1" s="10"/>
      <c r="H1" s="6" t="s">
        <v>5</v>
      </c>
      <c r="I1" s="8"/>
      <c r="J1" s="8"/>
      <c r="K1" s="10"/>
      <c r="L1" s="6" t="s">
        <v>6</v>
      </c>
      <c r="M1" s="8"/>
      <c r="N1" s="8"/>
      <c r="O1" s="10"/>
      <c r="P1" s="6" t="s">
        <v>7</v>
      </c>
      <c r="Q1" s="8"/>
      <c r="R1" s="8"/>
      <c r="S1" s="10"/>
      <c r="T1" s="6" t="s">
        <v>8</v>
      </c>
      <c r="U1" s="8"/>
      <c r="V1" s="8"/>
      <c r="W1" s="10"/>
      <c r="X1" s="6" t="s">
        <v>9</v>
      </c>
      <c r="Y1" s="8"/>
      <c r="Z1" s="8"/>
      <c r="AA1" s="10"/>
      <c r="AB1" s="6" t="s">
        <v>10</v>
      </c>
      <c r="AC1" s="8"/>
      <c r="AD1" s="8"/>
      <c r="AE1" s="10"/>
      <c r="AF1" s="6" t="s">
        <v>11</v>
      </c>
      <c r="AG1" s="8"/>
      <c r="AH1" s="8"/>
      <c r="AI1" s="10"/>
      <c r="AJ1" s="6" t="s">
        <v>12</v>
      </c>
      <c r="AK1" s="8"/>
      <c r="AL1" s="8"/>
      <c r="AM1" s="10"/>
      <c r="AN1" s="6" t="s">
        <v>13</v>
      </c>
      <c r="AO1" s="8"/>
      <c r="AP1" s="8"/>
      <c r="AQ1" s="10"/>
      <c r="AR1" s="6" t="s">
        <v>14</v>
      </c>
      <c r="AS1" s="8"/>
      <c r="AT1" s="8"/>
      <c r="AU1" s="10"/>
      <c r="AV1" s="6" t="s">
        <v>15</v>
      </c>
      <c r="AW1" s="8"/>
      <c r="AX1" s="8"/>
      <c r="AY1" s="10"/>
      <c r="AZ1" s="6" t="s">
        <v>16</v>
      </c>
      <c r="BA1" s="8"/>
      <c r="BB1" s="8"/>
      <c r="BC1" s="10"/>
      <c r="BD1" s="6" t="s">
        <v>16</v>
      </c>
      <c r="BE1" s="8"/>
      <c r="BF1" s="8"/>
      <c r="BG1" s="10"/>
      <c r="BH1" s="6" t="s">
        <v>16</v>
      </c>
      <c r="BI1" s="8"/>
      <c r="BJ1" s="8"/>
      <c r="BK1" s="10"/>
      <c r="BL1" s="6" t="s">
        <v>16</v>
      </c>
      <c r="BM1" s="8"/>
      <c r="BN1" s="8"/>
      <c r="BO1" s="10"/>
      <c r="BP1" s="6" t="s">
        <v>16</v>
      </c>
      <c r="BQ1" s="8"/>
      <c r="BR1" s="8"/>
      <c r="BS1" s="10"/>
      <c r="BT1" s="6" t="s">
        <v>16</v>
      </c>
      <c r="BU1" s="8"/>
      <c r="BV1" s="8"/>
      <c r="BW1" s="10"/>
    </row>
    <row r="2" ht="13.5" customHeight="1">
      <c r="A2" s="13" t="s">
        <v>17</v>
      </c>
      <c r="B2" s="14" t="s">
        <v>18</v>
      </c>
      <c r="C2" s="15" t="s">
        <v>19</v>
      </c>
      <c r="D2" s="16" t="s">
        <v>20</v>
      </c>
      <c r="E2" s="16" t="s">
        <v>21</v>
      </c>
      <c r="F2" s="16" t="s">
        <v>22</v>
      </c>
      <c r="G2" s="17" t="s">
        <v>23</v>
      </c>
      <c r="H2" s="16" t="s">
        <v>20</v>
      </c>
      <c r="I2" s="16" t="s">
        <v>21</v>
      </c>
      <c r="J2" s="16" t="s">
        <v>22</v>
      </c>
      <c r="K2" s="17" t="s">
        <v>23</v>
      </c>
      <c r="L2" s="16" t="s">
        <v>20</v>
      </c>
      <c r="M2" s="16" t="s">
        <v>21</v>
      </c>
      <c r="N2" s="16" t="s">
        <v>22</v>
      </c>
      <c r="O2" s="17" t="s">
        <v>23</v>
      </c>
      <c r="P2" s="16" t="s">
        <v>20</v>
      </c>
      <c r="Q2" s="16" t="s">
        <v>21</v>
      </c>
      <c r="R2" s="16" t="s">
        <v>22</v>
      </c>
      <c r="S2" s="17" t="s">
        <v>23</v>
      </c>
      <c r="T2" s="16" t="s">
        <v>20</v>
      </c>
      <c r="U2" s="16" t="s">
        <v>21</v>
      </c>
      <c r="V2" s="16" t="s">
        <v>22</v>
      </c>
      <c r="W2" s="17" t="s">
        <v>23</v>
      </c>
      <c r="X2" s="16" t="s">
        <v>20</v>
      </c>
      <c r="Y2" s="16" t="s">
        <v>21</v>
      </c>
      <c r="Z2" s="16" t="s">
        <v>22</v>
      </c>
      <c r="AA2" s="17" t="s">
        <v>23</v>
      </c>
      <c r="AB2" s="16" t="s">
        <v>20</v>
      </c>
      <c r="AC2" s="16" t="s">
        <v>21</v>
      </c>
      <c r="AD2" s="16" t="s">
        <v>22</v>
      </c>
      <c r="AE2" s="17" t="s">
        <v>23</v>
      </c>
      <c r="AF2" s="16" t="s">
        <v>20</v>
      </c>
      <c r="AG2" s="16" t="s">
        <v>21</v>
      </c>
      <c r="AH2" s="16" t="s">
        <v>22</v>
      </c>
      <c r="AI2" s="17" t="s">
        <v>23</v>
      </c>
      <c r="AJ2" s="16" t="s">
        <v>20</v>
      </c>
      <c r="AK2" s="16" t="s">
        <v>21</v>
      </c>
      <c r="AL2" s="16" t="s">
        <v>22</v>
      </c>
      <c r="AM2" s="17" t="s">
        <v>23</v>
      </c>
      <c r="AN2" s="16" t="s">
        <v>20</v>
      </c>
      <c r="AO2" s="16" t="s">
        <v>21</v>
      </c>
      <c r="AP2" s="16" t="s">
        <v>22</v>
      </c>
      <c r="AQ2" s="17" t="s">
        <v>23</v>
      </c>
      <c r="AR2" s="16" t="s">
        <v>20</v>
      </c>
      <c r="AS2" s="16" t="s">
        <v>21</v>
      </c>
      <c r="AT2" s="16" t="s">
        <v>22</v>
      </c>
      <c r="AU2" s="17" t="s">
        <v>23</v>
      </c>
      <c r="AV2" s="16" t="s">
        <v>20</v>
      </c>
      <c r="AW2" s="16" t="s">
        <v>21</v>
      </c>
      <c r="AX2" s="16" t="s">
        <v>22</v>
      </c>
      <c r="AY2" s="17" t="s">
        <v>23</v>
      </c>
      <c r="AZ2" s="16" t="s">
        <v>20</v>
      </c>
      <c r="BA2" s="16" t="s">
        <v>21</v>
      </c>
      <c r="BB2" s="16" t="s">
        <v>22</v>
      </c>
      <c r="BC2" s="17" t="s">
        <v>23</v>
      </c>
      <c r="BD2" s="16" t="s">
        <v>20</v>
      </c>
      <c r="BE2" s="16" t="s">
        <v>21</v>
      </c>
      <c r="BF2" s="16" t="s">
        <v>22</v>
      </c>
      <c r="BG2" s="17" t="s">
        <v>23</v>
      </c>
      <c r="BH2" s="16" t="s">
        <v>20</v>
      </c>
      <c r="BI2" s="16" t="s">
        <v>21</v>
      </c>
      <c r="BJ2" s="16" t="s">
        <v>22</v>
      </c>
      <c r="BK2" s="17" t="s">
        <v>23</v>
      </c>
      <c r="BL2" s="16" t="s">
        <v>20</v>
      </c>
      <c r="BM2" s="16" t="s">
        <v>21</v>
      </c>
      <c r="BN2" s="16" t="s">
        <v>22</v>
      </c>
      <c r="BO2" s="17" t="s">
        <v>23</v>
      </c>
      <c r="BP2" s="16" t="s">
        <v>20</v>
      </c>
      <c r="BQ2" s="16" t="s">
        <v>21</v>
      </c>
      <c r="BR2" s="16" t="s">
        <v>22</v>
      </c>
      <c r="BS2" s="17" t="s">
        <v>23</v>
      </c>
      <c r="BT2" s="16" t="s">
        <v>20</v>
      </c>
      <c r="BU2" s="16" t="s">
        <v>21</v>
      </c>
      <c r="BV2" s="16" t="s">
        <v>22</v>
      </c>
      <c r="BW2" s="17" t="s">
        <v>23</v>
      </c>
    </row>
    <row r="3" ht="13.5" customHeight="1">
      <c r="A3" s="18">
        <v>46056.0</v>
      </c>
      <c r="B3" s="19">
        <f t="shared" ref="B3:B20" si="1">IF(E3="-",0,1)+IF(I3="-",0,1)+IF(M3="-",0,1)+IF(Q3="-",0,1)+IF(U3="-",0,1)+IF(Y3="-",0,1)+IF(AC3="-",0,1)+IF(AG3="-",0,1)+IF(AK3="-",0,1)+IF(AO3="-",0,1)+IF(AS3="-",0,1)+IF(AW3="-",0,1)+IF(BA3="-",0,1)+IF(BE3="-",0,1)+IF(BI3="-",0,1)+IF(BM3="-",0,1)+IF(BQ3="-",0,1)+IF(BU3="-",0,1)</f>
        <v>9</v>
      </c>
      <c r="C3" s="20">
        <f t="shared" ref="C3:C20" si="2">(B3*$D$44)-IF(B3 &gt;0,30,0)</f>
        <v>60</v>
      </c>
      <c r="D3" s="16" t="s">
        <v>24</v>
      </c>
      <c r="E3" s="16">
        <v>1.0</v>
      </c>
      <c r="F3" s="16">
        <v>5.0</v>
      </c>
      <c r="G3" s="21">
        <f t="shared" ref="G3:G20" si="3">VLOOKUP(E3,$A$27:$E$43,2,FALSE)+(IF(F3="-",0,F3*1))</f>
        <v>30</v>
      </c>
      <c r="H3" s="16" t="s">
        <v>24</v>
      </c>
      <c r="I3" s="16">
        <v>5.0</v>
      </c>
      <c r="J3" s="16" t="s">
        <v>16</v>
      </c>
      <c r="K3" s="21">
        <f t="shared" ref="K3:K20" si="4">VLOOKUP(I3,$A$27:$E$43,2,FALSE)+(IF(J3="-",0,J3*1))</f>
        <v>10</v>
      </c>
      <c r="L3" s="16" t="s">
        <v>24</v>
      </c>
      <c r="M3" s="16">
        <v>4.0</v>
      </c>
      <c r="N3" s="16" t="s">
        <v>16</v>
      </c>
      <c r="O3" s="21">
        <f t="shared" ref="O3:O20" si="5">VLOOKUP(M3,$A$27:$E$43,2,FALSE)+(IF(N3="-",0,N3*1))</f>
        <v>12</v>
      </c>
      <c r="P3" s="16" t="s">
        <v>24</v>
      </c>
      <c r="Q3" s="16">
        <v>2.0</v>
      </c>
      <c r="R3" s="16">
        <v>2.0</v>
      </c>
      <c r="S3" s="21">
        <f t="shared" ref="S3:S20" si="6">VLOOKUP(Q3,$A$27:$E$43,2,FALSE)+(IF(R3="-",0,R3*1))</f>
        <v>20</v>
      </c>
      <c r="T3" s="16" t="s">
        <v>24</v>
      </c>
      <c r="U3" s="16">
        <v>6.0</v>
      </c>
      <c r="V3" s="16" t="s">
        <v>16</v>
      </c>
      <c r="W3" s="21">
        <f t="shared" ref="W3:W20" si="7">VLOOKUP(U3,$A$27:$E$43,2,FALSE)+(IF(V3="-",0,V3*1))</f>
        <v>8</v>
      </c>
      <c r="X3" s="16" t="s">
        <v>24</v>
      </c>
      <c r="Y3" s="16">
        <v>8.0</v>
      </c>
      <c r="Z3" s="16" t="s">
        <v>16</v>
      </c>
      <c r="AA3" s="21">
        <f t="shared" ref="AA3:AA20" si="8">VLOOKUP(Y3,$A$27:$E$43,2,FALSE)+(IF(Z3="-",0,Z3*1))</f>
        <v>4</v>
      </c>
      <c r="AB3" s="16" t="s">
        <v>24</v>
      </c>
      <c r="AC3" s="16">
        <v>9.0</v>
      </c>
      <c r="AD3" s="16" t="s">
        <v>16</v>
      </c>
      <c r="AE3" s="21">
        <f t="shared" ref="AE3:AE20" si="9">VLOOKUP(AC3,$A$27:$E$43,2,FALSE)+(IF(AD3="-",0,AD3*1))</f>
        <v>2</v>
      </c>
      <c r="AF3" s="16" t="s">
        <v>24</v>
      </c>
      <c r="AG3" s="16">
        <v>3.0</v>
      </c>
      <c r="AH3" s="16">
        <v>2.0</v>
      </c>
      <c r="AI3" s="21">
        <f t="shared" ref="AI3:AI20" si="10">VLOOKUP(AG3,$A$27:$E$43,2,FALSE)+(IF(AH3="-",0,AH3*1))</f>
        <v>17</v>
      </c>
      <c r="AJ3" s="16" t="s">
        <v>24</v>
      </c>
      <c r="AK3" s="16">
        <v>7.0</v>
      </c>
      <c r="AL3" s="16" t="s">
        <v>16</v>
      </c>
      <c r="AM3" s="21">
        <f t="shared" ref="AM3:AM20" si="11">VLOOKUP(AK3,$A$27:$E$43,2,FALSE)+(IF(AL3="-",0,AL3*1))</f>
        <v>6</v>
      </c>
      <c r="AN3" s="16" t="s">
        <v>16</v>
      </c>
      <c r="AO3" s="16" t="s">
        <v>16</v>
      </c>
      <c r="AP3" s="16" t="s">
        <v>16</v>
      </c>
      <c r="AQ3" s="21">
        <f t="shared" ref="AQ3:AQ20" si="12">VLOOKUP(AO3,$A$27:$E$43,2,FALSE)+(IF(AP3="-",0,AP3*1))</f>
        <v>0</v>
      </c>
      <c r="AR3" s="16" t="s">
        <v>16</v>
      </c>
      <c r="AS3" s="16" t="s">
        <v>16</v>
      </c>
      <c r="AT3" s="16" t="s">
        <v>16</v>
      </c>
      <c r="AU3" s="21">
        <f t="shared" ref="AU3:AU20" si="13">VLOOKUP(AS3,$A$27:$E$43,2,FALSE)+(IF(AT3="-",0,AT3*1))</f>
        <v>0</v>
      </c>
      <c r="AV3" s="16" t="s">
        <v>16</v>
      </c>
      <c r="AW3" s="16" t="s">
        <v>16</v>
      </c>
      <c r="AX3" s="16" t="s">
        <v>16</v>
      </c>
      <c r="AY3" s="21">
        <f t="shared" ref="AY3:AY20" si="14">VLOOKUP(AW3,$A$27:$E$43,2,FALSE)+(IF(AX3="-",0,AX3*1))</f>
        <v>0</v>
      </c>
      <c r="AZ3" s="16" t="s">
        <v>16</v>
      </c>
      <c r="BA3" s="16" t="s">
        <v>16</v>
      </c>
      <c r="BB3" s="16" t="s">
        <v>16</v>
      </c>
      <c r="BC3" s="21">
        <f t="shared" ref="BC3:BC20" si="15">VLOOKUP(BA3,$A$27:$E$43,2,FALSE)+(IF(BB3="-",0,BB3*1))</f>
        <v>0</v>
      </c>
      <c r="BD3" s="16" t="s">
        <v>16</v>
      </c>
      <c r="BE3" s="16" t="s">
        <v>16</v>
      </c>
      <c r="BF3" s="16" t="s">
        <v>16</v>
      </c>
      <c r="BG3" s="21">
        <f t="shared" ref="BG3:BG20" si="16">VLOOKUP(BE3,$A$27:$E$43,2,FALSE)+(IF(BF3="-",0,BF3*1))</f>
        <v>0</v>
      </c>
      <c r="BH3" s="16" t="s">
        <v>16</v>
      </c>
      <c r="BI3" s="16" t="s">
        <v>16</v>
      </c>
      <c r="BJ3" s="16" t="s">
        <v>16</v>
      </c>
      <c r="BK3" s="21">
        <f t="shared" ref="BK3:BK20" si="17">VLOOKUP(BI3,$A$27:$E$43,2,FALSE)+(IF(BJ3="-",0,BJ3*1))</f>
        <v>0</v>
      </c>
      <c r="BL3" s="16" t="s">
        <v>16</v>
      </c>
      <c r="BM3" s="16" t="s">
        <v>16</v>
      </c>
      <c r="BN3" s="16" t="s">
        <v>16</v>
      </c>
      <c r="BO3" s="21">
        <f t="shared" ref="BO3:BO20" si="18">VLOOKUP(BM3,$A$27:$E$43,2,FALSE)+(IF(BN3="-",0,BN3*1))</f>
        <v>0</v>
      </c>
      <c r="BP3" s="16" t="s">
        <v>16</v>
      </c>
      <c r="BQ3" s="16" t="s">
        <v>16</v>
      </c>
      <c r="BR3" s="16" t="s">
        <v>16</v>
      </c>
      <c r="BS3" s="21">
        <f t="shared" ref="BS3:BS20" si="19">VLOOKUP(BQ3,$A$27:$E$43,2,FALSE)+(IF(BR3="-",0,BR3*1))</f>
        <v>0</v>
      </c>
      <c r="BT3" s="16" t="s">
        <v>16</v>
      </c>
      <c r="BU3" s="16" t="s">
        <v>16</v>
      </c>
      <c r="BV3" s="16" t="s">
        <v>16</v>
      </c>
      <c r="BW3" s="21">
        <f t="shared" ref="BW3:BW20" si="20">VLOOKUP(BU3,$A$27:$E$43,2,FALSE)+(IF(BV3="-",0,BV3*1))</f>
        <v>0</v>
      </c>
    </row>
    <row r="4" ht="13.5" customHeight="1">
      <c r="A4" s="18">
        <v>46063.0</v>
      </c>
      <c r="B4" s="19">
        <f t="shared" si="1"/>
        <v>9</v>
      </c>
      <c r="C4" s="20">
        <f t="shared" si="2"/>
        <v>60</v>
      </c>
      <c r="D4" s="16" t="s">
        <v>24</v>
      </c>
      <c r="E4" s="16">
        <v>4.0</v>
      </c>
      <c r="F4" s="16" t="s">
        <v>16</v>
      </c>
      <c r="G4" s="21">
        <f t="shared" si="3"/>
        <v>12</v>
      </c>
      <c r="H4" s="16" t="s">
        <v>24</v>
      </c>
      <c r="I4" s="16">
        <v>7.0</v>
      </c>
      <c r="J4" s="16" t="s">
        <v>16</v>
      </c>
      <c r="K4" s="21">
        <f t="shared" si="4"/>
        <v>6</v>
      </c>
      <c r="L4" s="16" t="s">
        <v>24</v>
      </c>
      <c r="M4" s="16">
        <v>2.0</v>
      </c>
      <c r="N4" s="16">
        <v>3.0</v>
      </c>
      <c r="O4" s="21">
        <f t="shared" si="5"/>
        <v>21</v>
      </c>
      <c r="P4" s="16" t="s">
        <v>24</v>
      </c>
      <c r="Q4" s="16">
        <v>1.0</v>
      </c>
      <c r="R4" s="16">
        <v>3.0</v>
      </c>
      <c r="S4" s="21">
        <f t="shared" si="6"/>
        <v>28</v>
      </c>
      <c r="T4" s="16" t="s">
        <v>24</v>
      </c>
      <c r="U4" s="16">
        <v>5.0</v>
      </c>
      <c r="V4" s="16">
        <v>1.0</v>
      </c>
      <c r="W4" s="21">
        <f t="shared" si="7"/>
        <v>11</v>
      </c>
      <c r="X4" s="16" t="s">
        <v>24</v>
      </c>
      <c r="Y4" s="16">
        <v>8.0</v>
      </c>
      <c r="Z4" s="16" t="s">
        <v>16</v>
      </c>
      <c r="AA4" s="21">
        <f t="shared" si="8"/>
        <v>4</v>
      </c>
      <c r="AB4" s="16" t="s">
        <v>24</v>
      </c>
      <c r="AC4" s="16">
        <v>9.0</v>
      </c>
      <c r="AD4" s="16" t="s">
        <v>16</v>
      </c>
      <c r="AE4" s="21">
        <f t="shared" si="9"/>
        <v>2</v>
      </c>
      <c r="AF4" s="16" t="s">
        <v>24</v>
      </c>
      <c r="AG4" s="16">
        <v>6.0</v>
      </c>
      <c r="AH4" s="16" t="s">
        <v>16</v>
      </c>
      <c r="AI4" s="21">
        <f t="shared" si="10"/>
        <v>8</v>
      </c>
      <c r="AJ4" s="16" t="s">
        <v>24</v>
      </c>
      <c r="AK4" s="16">
        <v>2.0</v>
      </c>
      <c r="AL4" s="16">
        <v>3.0</v>
      </c>
      <c r="AM4" s="21">
        <f t="shared" si="11"/>
        <v>21</v>
      </c>
      <c r="AN4" s="16" t="s">
        <v>16</v>
      </c>
      <c r="AO4" s="16" t="s">
        <v>16</v>
      </c>
      <c r="AP4" s="16" t="s">
        <v>16</v>
      </c>
      <c r="AQ4" s="21">
        <f t="shared" si="12"/>
        <v>0</v>
      </c>
      <c r="AR4" s="16" t="s">
        <v>16</v>
      </c>
      <c r="AS4" s="16" t="s">
        <v>16</v>
      </c>
      <c r="AT4" s="16" t="s">
        <v>16</v>
      </c>
      <c r="AU4" s="21">
        <f t="shared" si="13"/>
        <v>0</v>
      </c>
      <c r="AV4" s="16" t="s">
        <v>16</v>
      </c>
      <c r="AW4" s="16" t="s">
        <v>16</v>
      </c>
      <c r="AX4" s="16" t="s">
        <v>16</v>
      </c>
      <c r="AY4" s="21">
        <f t="shared" si="14"/>
        <v>0</v>
      </c>
      <c r="AZ4" s="16" t="s">
        <v>16</v>
      </c>
      <c r="BA4" s="16" t="s">
        <v>16</v>
      </c>
      <c r="BB4" s="16" t="s">
        <v>16</v>
      </c>
      <c r="BC4" s="21">
        <f t="shared" si="15"/>
        <v>0</v>
      </c>
      <c r="BD4" s="16" t="s">
        <v>16</v>
      </c>
      <c r="BE4" s="16" t="s">
        <v>16</v>
      </c>
      <c r="BF4" s="16" t="s">
        <v>16</v>
      </c>
      <c r="BG4" s="21">
        <f t="shared" si="16"/>
        <v>0</v>
      </c>
      <c r="BH4" s="16" t="s">
        <v>16</v>
      </c>
      <c r="BI4" s="16" t="s">
        <v>16</v>
      </c>
      <c r="BJ4" s="16" t="s">
        <v>16</v>
      </c>
      <c r="BK4" s="21">
        <f t="shared" si="17"/>
        <v>0</v>
      </c>
      <c r="BL4" s="16" t="s">
        <v>16</v>
      </c>
      <c r="BM4" s="16" t="s">
        <v>16</v>
      </c>
      <c r="BN4" s="16" t="s">
        <v>16</v>
      </c>
      <c r="BO4" s="21">
        <f t="shared" si="18"/>
        <v>0</v>
      </c>
      <c r="BP4" s="16" t="s">
        <v>16</v>
      </c>
      <c r="BQ4" s="16" t="s">
        <v>16</v>
      </c>
      <c r="BR4" s="16" t="s">
        <v>16</v>
      </c>
      <c r="BS4" s="21">
        <f t="shared" si="19"/>
        <v>0</v>
      </c>
      <c r="BT4" s="16" t="s">
        <v>16</v>
      </c>
      <c r="BU4" s="16" t="s">
        <v>16</v>
      </c>
      <c r="BV4" s="16" t="s">
        <v>16</v>
      </c>
      <c r="BW4" s="21">
        <f t="shared" si="20"/>
        <v>0</v>
      </c>
    </row>
    <row r="5" ht="13.5" customHeight="1">
      <c r="A5" s="18">
        <v>46077.0</v>
      </c>
      <c r="B5" s="19">
        <f t="shared" si="1"/>
        <v>9</v>
      </c>
      <c r="C5" s="20">
        <f t="shared" si="2"/>
        <v>60</v>
      </c>
      <c r="D5" s="16" t="s">
        <v>24</v>
      </c>
      <c r="E5" s="16">
        <v>7.0</v>
      </c>
      <c r="F5" s="16" t="s">
        <v>16</v>
      </c>
      <c r="G5" s="21">
        <f t="shared" si="3"/>
        <v>6</v>
      </c>
      <c r="H5" s="16" t="s">
        <v>24</v>
      </c>
      <c r="I5" s="16">
        <v>9.0</v>
      </c>
      <c r="J5" s="16" t="s">
        <v>16</v>
      </c>
      <c r="K5" s="21">
        <f t="shared" si="4"/>
        <v>2</v>
      </c>
      <c r="L5" s="16" t="s">
        <v>24</v>
      </c>
      <c r="M5" s="16">
        <v>1.0</v>
      </c>
      <c r="N5" s="16">
        <v>2.0</v>
      </c>
      <c r="O5" s="21">
        <f t="shared" si="5"/>
        <v>27</v>
      </c>
      <c r="P5" s="16" t="s">
        <v>24</v>
      </c>
      <c r="Q5" s="16">
        <v>5.0</v>
      </c>
      <c r="R5" s="16">
        <v>2.0</v>
      </c>
      <c r="S5" s="21">
        <f t="shared" si="6"/>
        <v>12</v>
      </c>
      <c r="T5" s="16" t="s">
        <v>24</v>
      </c>
      <c r="U5" s="16">
        <v>4.0</v>
      </c>
      <c r="V5" s="16" t="s">
        <v>16</v>
      </c>
      <c r="W5" s="21">
        <f t="shared" si="7"/>
        <v>12</v>
      </c>
      <c r="X5" s="16" t="s">
        <v>16</v>
      </c>
      <c r="Y5" s="16" t="s">
        <v>16</v>
      </c>
      <c r="Z5" s="16" t="s">
        <v>16</v>
      </c>
      <c r="AA5" s="21">
        <f t="shared" si="8"/>
        <v>0</v>
      </c>
      <c r="AB5" s="16" t="s">
        <v>24</v>
      </c>
      <c r="AC5" s="16">
        <v>8.0</v>
      </c>
      <c r="AD5" s="16">
        <v>1.0</v>
      </c>
      <c r="AE5" s="21">
        <f t="shared" si="9"/>
        <v>5</v>
      </c>
      <c r="AF5" s="16" t="s">
        <v>24</v>
      </c>
      <c r="AG5" s="16">
        <v>3.0</v>
      </c>
      <c r="AH5" s="16">
        <v>2.0</v>
      </c>
      <c r="AI5" s="21">
        <f t="shared" si="10"/>
        <v>17</v>
      </c>
      <c r="AJ5" s="16" t="s">
        <v>24</v>
      </c>
      <c r="AK5" s="16">
        <v>6.0</v>
      </c>
      <c r="AL5" s="16" t="s">
        <v>16</v>
      </c>
      <c r="AM5" s="21">
        <f t="shared" si="11"/>
        <v>8</v>
      </c>
      <c r="AN5" s="16" t="s">
        <v>16</v>
      </c>
      <c r="AO5" s="16" t="s">
        <v>16</v>
      </c>
      <c r="AP5" s="16" t="s">
        <v>16</v>
      </c>
      <c r="AQ5" s="21">
        <f t="shared" si="12"/>
        <v>0</v>
      </c>
      <c r="AR5" s="16" t="s">
        <v>24</v>
      </c>
      <c r="AS5" s="16">
        <v>2.0</v>
      </c>
      <c r="AT5" s="16">
        <v>2.0</v>
      </c>
      <c r="AU5" s="21">
        <f t="shared" si="13"/>
        <v>20</v>
      </c>
      <c r="AV5" s="16" t="s">
        <v>16</v>
      </c>
      <c r="AW5" s="16" t="s">
        <v>16</v>
      </c>
      <c r="AX5" s="16" t="s">
        <v>16</v>
      </c>
      <c r="AY5" s="21">
        <f t="shared" si="14"/>
        <v>0</v>
      </c>
      <c r="AZ5" s="16" t="s">
        <v>16</v>
      </c>
      <c r="BA5" s="16" t="s">
        <v>16</v>
      </c>
      <c r="BB5" s="16" t="s">
        <v>16</v>
      </c>
      <c r="BC5" s="21">
        <f t="shared" si="15"/>
        <v>0</v>
      </c>
      <c r="BD5" s="16" t="s">
        <v>16</v>
      </c>
      <c r="BE5" s="16" t="s">
        <v>16</v>
      </c>
      <c r="BF5" s="16" t="s">
        <v>16</v>
      </c>
      <c r="BG5" s="21">
        <f t="shared" si="16"/>
        <v>0</v>
      </c>
      <c r="BH5" s="16" t="s">
        <v>16</v>
      </c>
      <c r="BI5" s="16" t="s">
        <v>16</v>
      </c>
      <c r="BJ5" s="16" t="s">
        <v>16</v>
      </c>
      <c r="BK5" s="21">
        <f t="shared" si="17"/>
        <v>0</v>
      </c>
      <c r="BL5" s="16" t="s">
        <v>16</v>
      </c>
      <c r="BM5" s="16" t="s">
        <v>16</v>
      </c>
      <c r="BN5" s="16" t="s">
        <v>16</v>
      </c>
      <c r="BO5" s="21">
        <f t="shared" si="18"/>
        <v>0</v>
      </c>
      <c r="BP5" s="16" t="s">
        <v>16</v>
      </c>
      <c r="BQ5" s="16" t="s">
        <v>16</v>
      </c>
      <c r="BR5" s="16" t="s">
        <v>16</v>
      </c>
      <c r="BS5" s="21">
        <f t="shared" si="19"/>
        <v>0</v>
      </c>
      <c r="BT5" s="16" t="s">
        <v>16</v>
      </c>
      <c r="BU5" s="16" t="s">
        <v>16</v>
      </c>
      <c r="BV5" s="16" t="s">
        <v>16</v>
      </c>
      <c r="BW5" s="21">
        <f t="shared" si="20"/>
        <v>0</v>
      </c>
    </row>
    <row r="6" ht="13.5" customHeight="1">
      <c r="A6" s="18">
        <v>46084.0</v>
      </c>
      <c r="B6" s="19">
        <f t="shared" si="1"/>
        <v>9</v>
      </c>
      <c r="C6" s="20">
        <f t="shared" si="2"/>
        <v>60</v>
      </c>
      <c r="D6" s="16" t="s">
        <v>24</v>
      </c>
      <c r="E6" s="16">
        <v>8.0</v>
      </c>
      <c r="F6" s="16" t="s">
        <v>16</v>
      </c>
      <c r="G6" s="21">
        <f t="shared" si="3"/>
        <v>4</v>
      </c>
      <c r="H6" s="16" t="s">
        <v>24</v>
      </c>
      <c r="I6" s="16">
        <v>2.0</v>
      </c>
      <c r="J6" s="16">
        <v>3.0</v>
      </c>
      <c r="K6" s="21">
        <f t="shared" si="4"/>
        <v>21</v>
      </c>
      <c r="L6" s="16" t="s">
        <v>24</v>
      </c>
      <c r="M6" s="16">
        <v>6.0</v>
      </c>
      <c r="N6" s="16" t="s">
        <v>16</v>
      </c>
      <c r="O6" s="21">
        <f t="shared" si="5"/>
        <v>8</v>
      </c>
      <c r="P6" s="16" t="s">
        <v>24</v>
      </c>
      <c r="Q6" s="16">
        <v>7.0</v>
      </c>
      <c r="R6" s="16" t="s">
        <v>16</v>
      </c>
      <c r="S6" s="21">
        <f t="shared" si="6"/>
        <v>6</v>
      </c>
      <c r="T6" s="16" t="s">
        <v>24</v>
      </c>
      <c r="U6" s="16">
        <v>9.0</v>
      </c>
      <c r="V6" s="16" t="s">
        <v>16</v>
      </c>
      <c r="W6" s="21">
        <f t="shared" si="7"/>
        <v>2</v>
      </c>
      <c r="X6" s="16" t="s">
        <v>24</v>
      </c>
      <c r="Y6" s="16">
        <v>4.0</v>
      </c>
      <c r="Z6" s="16" t="s">
        <v>16</v>
      </c>
      <c r="AA6" s="21">
        <f t="shared" si="8"/>
        <v>12</v>
      </c>
      <c r="AB6" s="16" t="s">
        <v>24</v>
      </c>
      <c r="AC6" s="16">
        <v>3.0</v>
      </c>
      <c r="AD6" s="16">
        <v>3.0</v>
      </c>
      <c r="AE6" s="21">
        <f t="shared" si="9"/>
        <v>18</v>
      </c>
      <c r="AF6" s="16" t="s">
        <v>24</v>
      </c>
      <c r="AG6" s="16">
        <v>1.0</v>
      </c>
      <c r="AH6" s="16">
        <v>3.0</v>
      </c>
      <c r="AI6" s="21">
        <f t="shared" si="10"/>
        <v>28</v>
      </c>
      <c r="AJ6" s="16" t="s">
        <v>24</v>
      </c>
      <c r="AK6" s="16">
        <v>5.0</v>
      </c>
      <c r="AL6" s="16" t="s">
        <v>16</v>
      </c>
      <c r="AM6" s="21">
        <f t="shared" si="11"/>
        <v>10</v>
      </c>
      <c r="AN6" s="16" t="s">
        <v>16</v>
      </c>
      <c r="AO6" s="16" t="s">
        <v>16</v>
      </c>
      <c r="AP6" s="16" t="s">
        <v>16</v>
      </c>
      <c r="AQ6" s="21">
        <f t="shared" si="12"/>
        <v>0</v>
      </c>
      <c r="AR6" s="16" t="s">
        <v>16</v>
      </c>
      <c r="AS6" s="16" t="s">
        <v>16</v>
      </c>
      <c r="AT6" s="16" t="s">
        <v>16</v>
      </c>
      <c r="AU6" s="21">
        <f t="shared" si="13"/>
        <v>0</v>
      </c>
      <c r="AV6" s="16" t="s">
        <v>16</v>
      </c>
      <c r="AW6" s="16" t="s">
        <v>16</v>
      </c>
      <c r="AX6" s="16" t="s">
        <v>16</v>
      </c>
      <c r="AY6" s="21">
        <f t="shared" si="14"/>
        <v>0</v>
      </c>
      <c r="AZ6" s="16" t="s">
        <v>16</v>
      </c>
      <c r="BA6" s="16" t="s">
        <v>16</v>
      </c>
      <c r="BB6" s="16" t="s">
        <v>16</v>
      </c>
      <c r="BC6" s="21">
        <f t="shared" si="15"/>
        <v>0</v>
      </c>
      <c r="BD6" s="16" t="s">
        <v>16</v>
      </c>
      <c r="BE6" s="16" t="s">
        <v>16</v>
      </c>
      <c r="BF6" s="16" t="s">
        <v>16</v>
      </c>
      <c r="BG6" s="21">
        <f t="shared" si="16"/>
        <v>0</v>
      </c>
      <c r="BH6" s="16" t="s">
        <v>16</v>
      </c>
      <c r="BI6" s="16" t="s">
        <v>16</v>
      </c>
      <c r="BJ6" s="16" t="s">
        <v>16</v>
      </c>
      <c r="BK6" s="21">
        <f t="shared" si="17"/>
        <v>0</v>
      </c>
      <c r="BL6" s="16" t="s">
        <v>16</v>
      </c>
      <c r="BM6" s="16" t="s">
        <v>16</v>
      </c>
      <c r="BN6" s="16" t="s">
        <v>16</v>
      </c>
      <c r="BO6" s="21">
        <f t="shared" si="18"/>
        <v>0</v>
      </c>
      <c r="BP6" s="16" t="s">
        <v>16</v>
      </c>
      <c r="BQ6" s="16" t="s">
        <v>16</v>
      </c>
      <c r="BR6" s="16" t="s">
        <v>16</v>
      </c>
      <c r="BS6" s="21">
        <f t="shared" si="19"/>
        <v>0</v>
      </c>
      <c r="BT6" s="16" t="s">
        <v>16</v>
      </c>
      <c r="BU6" s="16" t="s">
        <v>16</v>
      </c>
      <c r="BV6" s="16" t="s">
        <v>16</v>
      </c>
      <c r="BW6" s="21">
        <f t="shared" si="20"/>
        <v>0</v>
      </c>
    </row>
    <row r="7" ht="13.5" customHeight="1">
      <c r="A7" s="18">
        <v>46091.0</v>
      </c>
      <c r="B7" s="24">
        <f t="shared" si="1"/>
        <v>9</v>
      </c>
      <c r="C7" s="20">
        <f t="shared" si="2"/>
        <v>60</v>
      </c>
      <c r="D7" s="16" t="s">
        <v>24</v>
      </c>
      <c r="E7" s="16">
        <v>1.0</v>
      </c>
      <c r="F7" s="16">
        <v>4.0</v>
      </c>
      <c r="G7" s="25">
        <f t="shared" si="3"/>
        <v>29</v>
      </c>
      <c r="H7" s="16" t="s">
        <v>24</v>
      </c>
      <c r="I7" s="16">
        <v>9.0</v>
      </c>
      <c r="J7" s="16" t="s">
        <v>16</v>
      </c>
      <c r="K7" s="25">
        <f t="shared" si="4"/>
        <v>2</v>
      </c>
      <c r="L7" s="16" t="s">
        <v>24</v>
      </c>
      <c r="M7" s="16">
        <v>7.0</v>
      </c>
      <c r="N7" s="16" t="s">
        <v>16</v>
      </c>
      <c r="O7" s="25">
        <f t="shared" si="5"/>
        <v>6</v>
      </c>
      <c r="P7" s="16" t="s">
        <v>24</v>
      </c>
      <c r="Q7" s="16">
        <v>3.0</v>
      </c>
      <c r="R7" s="16">
        <v>1.0</v>
      </c>
      <c r="S7" s="25">
        <f t="shared" si="6"/>
        <v>16</v>
      </c>
      <c r="T7" s="16" t="s">
        <v>24</v>
      </c>
      <c r="U7" s="16">
        <v>8.0</v>
      </c>
      <c r="V7" s="16" t="s">
        <v>16</v>
      </c>
      <c r="W7" s="25">
        <f t="shared" si="7"/>
        <v>4</v>
      </c>
      <c r="X7" s="16" t="s">
        <v>24</v>
      </c>
      <c r="Y7" s="16">
        <v>6.0</v>
      </c>
      <c r="Z7" s="16">
        <v>1.0</v>
      </c>
      <c r="AA7" s="25">
        <f t="shared" si="8"/>
        <v>9</v>
      </c>
      <c r="AB7" s="16" t="s">
        <v>24</v>
      </c>
      <c r="AC7" s="16">
        <v>5.0</v>
      </c>
      <c r="AD7" s="16" t="s">
        <v>16</v>
      </c>
      <c r="AE7" s="25">
        <f t="shared" si="9"/>
        <v>10</v>
      </c>
      <c r="AF7" s="16" t="s">
        <v>24</v>
      </c>
      <c r="AG7" s="16">
        <v>4.0</v>
      </c>
      <c r="AH7" s="16" t="s">
        <v>16</v>
      </c>
      <c r="AI7" s="25">
        <f t="shared" si="10"/>
        <v>12</v>
      </c>
      <c r="AJ7" s="16" t="s">
        <v>24</v>
      </c>
      <c r="AK7" s="16">
        <v>2.0</v>
      </c>
      <c r="AL7" s="16">
        <v>3.0</v>
      </c>
      <c r="AM7" s="25">
        <f t="shared" si="11"/>
        <v>21</v>
      </c>
      <c r="AN7" s="16" t="s">
        <v>16</v>
      </c>
      <c r="AO7" s="16" t="s">
        <v>16</v>
      </c>
      <c r="AP7" s="16" t="s">
        <v>16</v>
      </c>
      <c r="AQ7" s="25">
        <f t="shared" si="12"/>
        <v>0</v>
      </c>
      <c r="AR7" s="16" t="s">
        <v>16</v>
      </c>
      <c r="AS7" s="16" t="s">
        <v>16</v>
      </c>
      <c r="AT7" s="16" t="s">
        <v>16</v>
      </c>
      <c r="AU7" s="25">
        <f t="shared" si="13"/>
        <v>0</v>
      </c>
      <c r="AV7" s="16" t="s">
        <v>16</v>
      </c>
      <c r="AW7" s="16" t="s">
        <v>16</v>
      </c>
      <c r="AX7" s="16" t="s">
        <v>16</v>
      </c>
      <c r="AY7" s="25">
        <f t="shared" si="14"/>
        <v>0</v>
      </c>
      <c r="AZ7" s="16" t="s">
        <v>16</v>
      </c>
      <c r="BA7" s="16" t="s">
        <v>16</v>
      </c>
      <c r="BB7" s="16" t="s">
        <v>16</v>
      </c>
      <c r="BC7" s="25">
        <f t="shared" si="15"/>
        <v>0</v>
      </c>
      <c r="BD7" s="16" t="s">
        <v>16</v>
      </c>
      <c r="BE7" s="16" t="s">
        <v>16</v>
      </c>
      <c r="BF7" s="16" t="s">
        <v>16</v>
      </c>
      <c r="BG7" s="25">
        <f t="shared" si="16"/>
        <v>0</v>
      </c>
      <c r="BH7" s="16" t="s">
        <v>16</v>
      </c>
      <c r="BI7" s="16" t="s">
        <v>16</v>
      </c>
      <c r="BJ7" s="16" t="s">
        <v>16</v>
      </c>
      <c r="BK7" s="25">
        <f t="shared" si="17"/>
        <v>0</v>
      </c>
      <c r="BL7" s="16" t="s">
        <v>16</v>
      </c>
      <c r="BM7" s="16" t="s">
        <v>16</v>
      </c>
      <c r="BN7" s="16" t="s">
        <v>16</v>
      </c>
      <c r="BO7" s="25">
        <f t="shared" si="18"/>
        <v>0</v>
      </c>
      <c r="BP7" s="16" t="s">
        <v>16</v>
      </c>
      <c r="BQ7" s="16" t="s">
        <v>16</v>
      </c>
      <c r="BR7" s="16" t="s">
        <v>16</v>
      </c>
      <c r="BS7" s="25">
        <f t="shared" si="19"/>
        <v>0</v>
      </c>
      <c r="BT7" s="16" t="s">
        <v>16</v>
      </c>
      <c r="BU7" s="16" t="s">
        <v>16</v>
      </c>
      <c r="BV7" s="16" t="s">
        <v>16</v>
      </c>
      <c r="BW7" s="25">
        <f t="shared" si="20"/>
        <v>0</v>
      </c>
    </row>
    <row r="8" ht="13.5" customHeight="1">
      <c r="A8" s="18">
        <v>46098.0</v>
      </c>
      <c r="B8" s="19">
        <f t="shared" si="1"/>
        <v>8</v>
      </c>
      <c r="C8" s="20">
        <f t="shared" si="2"/>
        <v>50</v>
      </c>
      <c r="D8" s="16" t="s">
        <v>24</v>
      </c>
      <c r="E8" s="16">
        <v>2.0</v>
      </c>
      <c r="F8" s="16">
        <v>5.0</v>
      </c>
      <c r="G8" s="21">
        <f t="shared" si="3"/>
        <v>23</v>
      </c>
      <c r="H8" s="16" t="s">
        <v>24</v>
      </c>
      <c r="I8" s="16">
        <v>5.0</v>
      </c>
      <c r="J8" s="16" t="s">
        <v>16</v>
      </c>
      <c r="K8" s="21">
        <f t="shared" si="4"/>
        <v>10</v>
      </c>
      <c r="L8" s="16" t="s">
        <v>24</v>
      </c>
      <c r="M8" s="16">
        <v>3.0</v>
      </c>
      <c r="N8" s="16">
        <v>1.0</v>
      </c>
      <c r="O8" s="21">
        <f t="shared" si="5"/>
        <v>16</v>
      </c>
      <c r="P8" s="16" t="s">
        <v>24</v>
      </c>
      <c r="Q8" s="16">
        <v>7.0</v>
      </c>
      <c r="R8" s="16" t="s">
        <v>16</v>
      </c>
      <c r="S8" s="21">
        <f t="shared" si="6"/>
        <v>6</v>
      </c>
      <c r="T8" s="16" t="s">
        <v>16</v>
      </c>
      <c r="U8" s="16" t="s">
        <v>16</v>
      </c>
      <c r="V8" s="16" t="s">
        <v>16</v>
      </c>
      <c r="W8" s="21">
        <f t="shared" si="7"/>
        <v>0</v>
      </c>
      <c r="X8" s="16" t="s">
        <v>24</v>
      </c>
      <c r="Y8" s="16">
        <v>6.0</v>
      </c>
      <c r="Z8" s="16" t="s">
        <v>16</v>
      </c>
      <c r="AA8" s="21">
        <f t="shared" si="8"/>
        <v>8</v>
      </c>
      <c r="AB8" s="16" t="s">
        <v>24</v>
      </c>
      <c r="AC8" s="16">
        <v>8.0</v>
      </c>
      <c r="AD8" s="16" t="s">
        <v>16</v>
      </c>
      <c r="AE8" s="21">
        <f t="shared" si="9"/>
        <v>4</v>
      </c>
      <c r="AF8" s="16" t="s">
        <v>24</v>
      </c>
      <c r="AG8" s="16">
        <v>4.0</v>
      </c>
      <c r="AH8" s="16" t="s">
        <v>16</v>
      </c>
      <c r="AI8" s="21">
        <f t="shared" si="10"/>
        <v>12</v>
      </c>
      <c r="AJ8" s="16" t="s">
        <v>24</v>
      </c>
      <c r="AK8" s="16">
        <v>1.0</v>
      </c>
      <c r="AL8" s="16">
        <v>2.0</v>
      </c>
      <c r="AM8" s="21">
        <f t="shared" si="11"/>
        <v>27</v>
      </c>
      <c r="AN8" s="16" t="s">
        <v>16</v>
      </c>
      <c r="AO8" s="16" t="s">
        <v>16</v>
      </c>
      <c r="AP8" s="16" t="s">
        <v>16</v>
      </c>
      <c r="AQ8" s="21">
        <f t="shared" si="12"/>
        <v>0</v>
      </c>
      <c r="AR8" s="16" t="s">
        <v>16</v>
      </c>
      <c r="AS8" s="16" t="s">
        <v>16</v>
      </c>
      <c r="AT8" s="16" t="s">
        <v>16</v>
      </c>
      <c r="AU8" s="21">
        <f t="shared" si="13"/>
        <v>0</v>
      </c>
      <c r="AV8" s="16" t="s">
        <v>16</v>
      </c>
      <c r="AW8" s="16" t="s">
        <v>16</v>
      </c>
      <c r="AX8" s="16" t="s">
        <v>16</v>
      </c>
      <c r="AY8" s="21">
        <f t="shared" si="14"/>
        <v>0</v>
      </c>
      <c r="AZ8" s="16" t="s">
        <v>16</v>
      </c>
      <c r="BA8" s="16" t="s">
        <v>16</v>
      </c>
      <c r="BB8" s="16" t="s">
        <v>16</v>
      </c>
      <c r="BC8" s="21">
        <f t="shared" si="15"/>
        <v>0</v>
      </c>
      <c r="BD8" s="16" t="s">
        <v>16</v>
      </c>
      <c r="BE8" s="16" t="s">
        <v>16</v>
      </c>
      <c r="BF8" s="16" t="s">
        <v>16</v>
      </c>
      <c r="BG8" s="21">
        <f t="shared" si="16"/>
        <v>0</v>
      </c>
      <c r="BH8" s="16" t="s">
        <v>16</v>
      </c>
      <c r="BI8" s="16" t="s">
        <v>16</v>
      </c>
      <c r="BJ8" s="16" t="s">
        <v>16</v>
      </c>
      <c r="BK8" s="21">
        <f t="shared" si="17"/>
        <v>0</v>
      </c>
      <c r="BL8" s="16" t="s">
        <v>16</v>
      </c>
      <c r="BM8" s="16" t="s">
        <v>16</v>
      </c>
      <c r="BN8" s="16" t="s">
        <v>16</v>
      </c>
      <c r="BO8" s="21">
        <f t="shared" si="18"/>
        <v>0</v>
      </c>
      <c r="BP8" s="16" t="s">
        <v>16</v>
      </c>
      <c r="BQ8" s="16" t="s">
        <v>16</v>
      </c>
      <c r="BR8" s="16" t="s">
        <v>16</v>
      </c>
      <c r="BS8" s="21">
        <f t="shared" si="19"/>
        <v>0</v>
      </c>
      <c r="BT8" s="16" t="s">
        <v>16</v>
      </c>
      <c r="BU8" s="16" t="s">
        <v>16</v>
      </c>
      <c r="BV8" s="16" t="s">
        <v>16</v>
      </c>
      <c r="BW8" s="21">
        <f t="shared" si="20"/>
        <v>0</v>
      </c>
    </row>
    <row r="9" ht="13.5" customHeight="1">
      <c r="A9" s="18">
        <v>46105.0</v>
      </c>
      <c r="B9" s="19">
        <f t="shared" si="1"/>
        <v>6</v>
      </c>
      <c r="C9" s="20">
        <f t="shared" si="2"/>
        <v>30</v>
      </c>
      <c r="D9" s="16" t="s">
        <v>24</v>
      </c>
      <c r="E9" s="16">
        <v>1.0</v>
      </c>
      <c r="F9" s="16">
        <v>2.0</v>
      </c>
      <c r="G9" s="21">
        <f t="shared" si="3"/>
        <v>27</v>
      </c>
      <c r="H9" s="16" t="s">
        <v>16</v>
      </c>
      <c r="I9" s="16" t="s">
        <v>16</v>
      </c>
      <c r="J9" s="16" t="s">
        <v>16</v>
      </c>
      <c r="K9" s="21">
        <f t="shared" si="4"/>
        <v>0</v>
      </c>
      <c r="L9" s="16" t="s">
        <v>16</v>
      </c>
      <c r="M9" s="16">
        <v>5.0</v>
      </c>
      <c r="N9" s="16" t="s">
        <v>16</v>
      </c>
      <c r="O9" s="21">
        <f t="shared" si="5"/>
        <v>10</v>
      </c>
      <c r="P9" s="16" t="s">
        <v>16</v>
      </c>
      <c r="Q9" s="16">
        <v>4.0</v>
      </c>
      <c r="R9" s="16">
        <v>1.0</v>
      </c>
      <c r="S9" s="21">
        <f t="shared" si="6"/>
        <v>13</v>
      </c>
      <c r="T9" s="16" t="s">
        <v>24</v>
      </c>
      <c r="U9" s="16">
        <v>2.0</v>
      </c>
      <c r="V9" s="16">
        <v>3.0</v>
      </c>
      <c r="W9" s="21">
        <f t="shared" si="7"/>
        <v>21</v>
      </c>
      <c r="X9" s="16" t="s">
        <v>16</v>
      </c>
      <c r="Y9" s="16" t="s">
        <v>16</v>
      </c>
      <c r="Z9" s="16" t="s">
        <v>16</v>
      </c>
      <c r="AA9" s="21">
        <f t="shared" si="8"/>
        <v>0</v>
      </c>
      <c r="AB9" s="16" t="s">
        <v>24</v>
      </c>
      <c r="AC9" s="16">
        <v>3.0</v>
      </c>
      <c r="AD9" s="16" t="s">
        <v>16</v>
      </c>
      <c r="AE9" s="21">
        <f t="shared" si="9"/>
        <v>15</v>
      </c>
      <c r="AF9" s="16" t="s">
        <v>16</v>
      </c>
      <c r="AG9" s="16" t="s">
        <v>16</v>
      </c>
      <c r="AH9" s="16" t="s">
        <v>16</v>
      </c>
      <c r="AI9" s="21">
        <f t="shared" si="10"/>
        <v>0</v>
      </c>
      <c r="AJ9" s="16" t="s">
        <v>24</v>
      </c>
      <c r="AK9" s="16">
        <v>6.0</v>
      </c>
      <c r="AL9" s="16" t="s">
        <v>16</v>
      </c>
      <c r="AM9" s="21">
        <f t="shared" si="11"/>
        <v>8</v>
      </c>
      <c r="AN9" s="16" t="s">
        <v>16</v>
      </c>
      <c r="AO9" s="16" t="s">
        <v>16</v>
      </c>
      <c r="AP9" s="16" t="s">
        <v>16</v>
      </c>
      <c r="AQ9" s="21">
        <f t="shared" si="12"/>
        <v>0</v>
      </c>
      <c r="AR9" s="16" t="s">
        <v>16</v>
      </c>
      <c r="AS9" s="16" t="s">
        <v>16</v>
      </c>
      <c r="AT9" s="16" t="s">
        <v>16</v>
      </c>
      <c r="AU9" s="21">
        <f t="shared" si="13"/>
        <v>0</v>
      </c>
      <c r="AV9" s="16" t="s">
        <v>16</v>
      </c>
      <c r="AW9" s="16" t="s">
        <v>16</v>
      </c>
      <c r="AX9" s="16" t="s">
        <v>16</v>
      </c>
      <c r="AY9" s="21">
        <f t="shared" si="14"/>
        <v>0</v>
      </c>
      <c r="AZ9" s="16" t="s">
        <v>16</v>
      </c>
      <c r="BA9" s="16" t="s">
        <v>16</v>
      </c>
      <c r="BB9" s="16" t="s">
        <v>16</v>
      </c>
      <c r="BC9" s="21">
        <f t="shared" si="15"/>
        <v>0</v>
      </c>
      <c r="BD9" s="16" t="s">
        <v>16</v>
      </c>
      <c r="BE9" s="16" t="s">
        <v>16</v>
      </c>
      <c r="BF9" s="16" t="s">
        <v>16</v>
      </c>
      <c r="BG9" s="21">
        <f t="shared" si="16"/>
        <v>0</v>
      </c>
      <c r="BH9" s="16" t="s">
        <v>16</v>
      </c>
      <c r="BI9" s="16" t="s">
        <v>16</v>
      </c>
      <c r="BJ9" s="16" t="s">
        <v>16</v>
      </c>
      <c r="BK9" s="21">
        <f t="shared" si="17"/>
        <v>0</v>
      </c>
      <c r="BL9" s="16" t="s">
        <v>16</v>
      </c>
      <c r="BM9" s="16" t="s">
        <v>16</v>
      </c>
      <c r="BN9" s="16" t="s">
        <v>16</v>
      </c>
      <c r="BO9" s="21">
        <f t="shared" si="18"/>
        <v>0</v>
      </c>
      <c r="BP9" s="16" t="s">
        <v>16</v>
      </c>
      <c r="BQ9" s="16" t="s">
        <v>16</v>
      </c>
      <c r="BR9" s="16" t="s">
        <v>16</v>
      </c>
      <c r="BS9" s="21">
        <f t="shared" si="19"/>
        <v>0</v>
      </c>
      <c r="BT9" s="16" t="s">
        <v>16</v>
      </c>
      <c r="BU9" s="16" t="s">
        <v>16</v>
      </c>
      <c r="BV9" s="16" t="s">
        <v>16</v>
      </c>
      <c r="BW9" s="21">
        <f t="shared" si="20"/>
        <v>0</v>
      </c>
    </row>
    <row r="10" ht="13.5" customHeight="1">
      <c r="A10" s="18">
        <v>46112.0</v>
      </c>
      <c r="B10" s="19">
        <f t="shared" si="1"/>
        <v>8</v>
      </c>
      <c r="C10" s="20">
        <f t="shared" si="2"/>
        <v>50</v>
      </c>
      <c r="D10" s="16" t="s">
        <v>16</v>
      </c>
      <c r="E10" s="16" t="s">
        <v>16</v>
      </c>
      <c r="F10" s="16" t="s">
        <v>16</v>
      </c>
      <c r="G10" s="21">
        <f t="shared" si="3"/>
        <v>0</v>
      </c>
      <c r="H10" s="16" t="s">
        <v>24</v>
      </c>
      <c r="I10" s="16">
        <v>3.0</v>
      </c>
      <c r="J10" s="16">
        <v>2.0</v>
      </c>
      <c r="K10" s="21">
        <f t="shared" si="4"/>
        <v>17</v>
      </c>
      <c r="L10" s="16" t="s">
        <v>24</v>
      </c>
      <c r="M10" s="16">
        <v>6.0</v>
      </c>
      <c r="N10" s="16" t="s">
        <v>16</v>
      </c>
      <c r="O10" s="21">
        <f t="shared" si="5"/>
        <v>8</v>
      </c>
      <c r="P10" s="16" t="s">
        <v>24</v>
      </c>
      <c r="Q10" s="16">
        <v>5.0</v>
      </c>
      <c r="R10" s="16" t="s">
        <v>16</v>
      </c>
      <c r="S10" s="21">
        <f t="shared" si="6"/>
        <v>10</v>
      </c>
      <c r="T10" s="16" t="s">
        <v>24</v>
      </c>
      <c r="U10" s="16">
        <v>1.0</v>
      </c>
      <c r="V10" s="16">
        <v>5.0</v>
      </c>
      <c r="W10" s="21">
        <f t="shared" si="7"/>
        <v>30</v>
      </c>
      <c r="X10" s="16" t="s">
        <v>24</v>
      </c>
      <c r="Y10" s="16">
        <v>7.0</v>
      </c>
      <c r="Z10" s="16" t="s">
        <v>16</v>
      </c>
      <c r="AA10" s="21">
        <f t="shared" si="8"/>
        <v>6</v>
      </c>
      <c r="AB10" s="16" t="s">
        <v>24</v>
      </c>
      <c r="AC10" s="16">
        <v>8.0</v>
      </c>
      <c r="AD10" s="16" t="s">
        <v>16</v>
      </c>
      <c r="AE10" s="21">
        <f t="shared" si="9"/>
        <v>4</v>
      </c>
      <c r="AF10" s="16" t="s">
        <v>24</v>
      </c>
      <c r="AG10" s="16">
        <v>2.0</v>
      </c>
      <c r="AH10" s="16">
        <v>1.0</v>
      </c>
      <c r="AI10" s="21">
        <f t="shared" si="10"/>
        <v>19</v>
      </c>
      <c r="AJ10" s="16" t="s">
        <v>24</v>
      </c>
      <c r="AK10" s="16">
        <v>4.0</v>
      </c>
      <c r="AL10" s="16" t="s">
        <v>16</v>
      </c>
      <c r="AM10" s="21">
        <f t="shared" si="11"/>
        <v>12</v>
      </c>
      <c r="AN10" s="16" t="s">
        <v>16</v>
      </c>
      <c r="AO10" s="16" t="s">
        <v>16</v>
      </c>
      <c r="AP10" s="16" t="s">
        <v>16</v>
      </c>
      <c r="AQ10" s="21">
        <f t="shared" si="12"/>
        <v>0</v>
      </c>
      <c r="AR10" s="16" t="s">
        <v>16</v>
      </c>
      <c r="AS10" s="16" t="s">
        <v>16</v>
      </c>
      <c r="AT10" s="16" t="s">
        <v>16</v>
      </c>
      <c r="AU10" s="21">
        <f t="shared" si="13"/>
        <v>0</v>
      </c>
      <c r="AV10" s="16" t="s">
        <v>16</v>
      </c>
      <c r="AW10" s="16" t="s">
        <v>16</v>
      </c>
      <c r="AX10" s="16" t="s">
        <v>16</v>
      </c>
      <c r="AY10" s="21">
        <f t="shared" si="14"/>
        <v>0</v>
      </c>
      <c r="AZ10" s="16" t="s">
        <v>16</v>
      </c>
      <c r="BA10" s="16" t="s">
        <v>16</v>
      </c>
      <c r="BB10" s="16" t="s">
        <v>16</v>
      </c>
      <c r="BC10" s="21">
        <f t="shared" si="15"/>
        <v>0</v>
      </c>
      <c r="BD10" s="16" t="s">
        <v>16</v>
      </c>
      <c r="BE10" s="16" t="s">
        <v>16</v>
      </c>
      <c r="BF10" s="16" t="s">
        <v>16</v>
      </c>
      <c r="BG10" s="21">
        <f t="shared" si="16"/>
        <v>0</v>
      </c>
      <c r="BH10" s="16" t="s">
        <v>16</v>
      </c>
      <c r="BI10" s="16" t="s">
        <v>16</v>
      </c>
      <c r="BJ10" s="16" t="s">
        <v>16</v>
      </c>
      <c r="BK10" s="21">
        <f t="shared" si="17"/>
        <v>0</v>
      </c>
      <c r="BL10" s="16" t="s">
        <v>16</v>
      </c>
      <c r="BM10" s="16" t="s">
        <v>16</v>
      </c>
      <c r="BN10" s="16" t="s">
        <v>16</v>
      </c>
      <c r="BO10" s="21">
        <f t="shared" si="18"/>
        <v>0</v>
      </c>
      <c r="BP10" s="16" t="s">
        <v>16</v>
      </c>
      <c r="BQ10" s="16" t="s">
        <v>16</v>
      </c>
      <c r="BR10" s="16" t="s">
        <v>16</v>
      </c>
      <c r="BS10" s="21">
        <f t="shared" si="19"/>
        <v>0</v>
      </c>
      <c r="BT10" s="16" t="s">
        <v>16</v>
      </c>
      <c r="BU10" s="16" t="s">
        <v>16</v>
      </c>
      <c r="BV10" s="16" t="s">
        <v>16</v>
      </c>
      <c r="BW10" s="21">
        <f t="shared" si="20"/>
        <v>0</v>
      </c>
    </row>
    <row r="11" ht="13.5" customHeight="1">
      <c r="A11" s="18">
        <v>46119.0</v>
      </c>
      <c r="B11" s="19">
        <f t="shared" si="1"/>
        <v>9</v>
      </c>
      <c r="C11" s="20">
        <f t="shared" si="2"/>
        <v>60</v>
      </c>
      <c r="D11" s="16" t="s">
        <v>24</v>
      </c>
      <c r="E11" s="16">
        <v>3.0</v>
      </c>
      <c r="F11" s="16" t="s">
        <v>16</v>
      </c>
      <c r="G11" s="21">
        <f t="shared" si="3"/>
        <v>15</v>
      </c>
      <c r="H11" s="16" t="s">
        <v>24</v>
      </c>
      <c r="I11" s="16">
        <v>9.0</v>
      </c>
      <c r="J11" s="16" t="s">
        <v>16</v>
      </c>
      <c r="K11" s="21">
        <f t="shared" si="4"/>
        <v>2</v>
      </c>
      <c r="L11" s="16" t="s">
        <v>24</v>
      </c>
      <c r="M11" s="16">
        <v>1.0</v>
      </c>
      <c r="N11" s="16">
        <v>3.0</v>
      </c>
      <c r="O11" s="21">
        <f t="shared" si="5"/>
        <v>28</v>
      </c>
      <c r="P11" s="16" t="s">
        <v>24</v>
      </c>
      <c r="Q11" s="16">
        <v>5.0</v>
      </c>
      <c r="R11" s="16" t="s">
        <v>16</v>
      </c>
      <c r="S11" s="21">
        <f t="shared" si="6"/>
        <v>10</v>
      </c>
      <c r="T11" s="16" t="s">
        <v>24</v>
      </c>
      <c r="U11" s="16">
        <v>4.0</v>
      </c>
      <c r="V11" s="16">
        <v>2.0</v>
      </c>
      <c r="W11" s="21">
        <f t="shared" si="7"/>
        <v>14</v>
      </c>
      <c r="X11" s="16" t="s">
        <v>24</v>
      </c>
      <c r="Y11" s="16">
        <v>2.0</v>
      </c>
      <c r="Z11" s="16">
        <v>2.0</v>
      </c>
      <c r="AA11" s="21">
        <f t="shared" si="8"/>
        <v>20</v>
      </c>
      <c r="AB11" s="16" t="s">
        <v>24</v>
      </c>
      <c r="AC11" s="16">
        <v>8.0</v>
      </c>
      <c r="AD11" s="16" t="s">
        <v>16</v>
      </c>
      <c r="AE11" s="21">
        <f t="shared" si="9"/>
        <v>4</v>
      </c>
      <c r="AF11" s="16" t="s">
        <v>24</v>
      </c>
      <c r="AG11" s="16">
        <v>7.0</v>
      </c>
      <c r="AH11" s="16" t="s">
        <v>16</v>
      </c>
      <c r="AI11" s="21">
        <f t="shared" si="10"/>
        <v>6</v>
      </c>
      <c r="AJ11" s="16" t="s">
        <v>24</v>
      </c>
      <c r="AK11" s="16">
        <v>6.0</v>
      </c>
      <c r="AL11" s="16" t="s">
        <v>16</v>
      </c>
      <c r="AM11" s="21">
        <f t="shared" si="11"/>
        <v>8</v>
      </c>
      <c r="AN11" s="16" t="s">
        <v>16</v>
      </c>
      <c r="AO11" s="16" t="s">
        <v>16</v>
      </c>
      <c r="AP11" s="16" t="s">
        <v>16</v>
      </c>
      <c r="AQ11" s="21">
        <f t="shared" si="12"/>
        <v>0</v>
      </c>
      <c r="AR11" s="16" t="s">
        <v>16</v>
      </c>
      <c r="AS11" s="16" t="s">
        <v>16</v>
      </c>
      <c r="AT11" s="16" t="s">
        <v>16</v>
      </c>
      <c r="AU11" s="21">
        <f t="shared" si="13"/>
        <v>0</v>
      </c>
      <c r="AV11" s="16" t="s">
        <v>16</v>
      </c>
      <c r="AW11" s="16" t="s">
        <v>16</v>
      </c>
      <c r="AX11" s="16" t="s">
        <v>16</v>
      </c>
      <c r="AY11" s="21">
        <f t="shared" si="14"/>
        <v>0</v>
      </c>
      <c r="AZ11" s="16" t="s">
        <v>16</v>
      </c>
      <c r="BA11" s="16" t="s">
        <v>16</v>
      </c>
      <c r="BB11" s="16" t="s">
        <v>16</v>
      </c>
      <c r="BC11" s="21">
        <f t="shared" si="15"/>
        <v>0</v>
      </c>
      <c r="BD11" s="16" t="s">
        <v>16</v>
      </c>
      <c r="BE11" s="16" t="s">
        <v>16</v>
      </c>
      <c r="BF11" s="16" t="s">
        <v>16</v>
      </c>
      <c r="BG11" s="21">
        <f t="shared" si="16"/>
        <v>0</v>
      </c>
      <c r="BH11" s="16" t="s">
        <v>16</v>
      </c>
      <c r="BI11" s="16" t="s">
        <v>16</v>
      </c>
      <c r="BJ11" s="16" t="s">
        <v>16</v>
      </c>
      <c r="BK11" s="21">
        <f t="shared" si="17"/>
        <v>0</v>
      </c>
      <c r="BL11" s="16" t="s">
        <v>16</v>
      </c>
      <c r="BM11" s="16" t="s">
        <v>16</v>
      </c>
      <c r="BN11" s="16" t="s">
        <v>16</v>
      </c>
      <c r="BO11" s="21">
        <f t="shared" si="18"/>
        <v>0</v>
      </c>
      <c r="BP11" s="16" t="s">
        <v>16</v>
      </c>
      <c r="BQ11" s="16" t="s">
        <v>16</v>
      </c>
      <c r="BR11" s="16" t="s">
        <v>16</v>
      </c>
      <c r="BS11" s="21">
        <f t="shared" si="19"/>
        <v>0</v>
      </c>
      <c r="BT11" s="16" t="s">
        <v>16</v>
      </c>
      <c r="BU11" s="16" t="s">
        <v>16</v>
      </c>
      <c r="BV11" s="16" t="s">
        <v>16</v>
      </c>
      <c r="BW11" s="21">
        <f t="shared" si="20"/>
        <v>0</v>
      </c>
    </row>
    <row r="12" ht="13.5" customHeight="1">
      <c r="A12" s="18">
        <v>46126.0</v>
      </c>
      <c r="B12" s="19">
        <f t="shared" si="1"/>
        <v>8</v>
      </c>
      <c r="C12" s="20">
        <f t="shared" si="2"/>
        <v>50</v>
      </c>
      <c r="D12" s="16" t="s">
        <v>16</v>
      </c>
      <c r="E12" s="16">
        <v>1.0</v>
      </c>
      <c r="F12" s="16">
        <v>3.0</v>
      </c>
      <c r="G12" s="21">
        <f t="shared" si="3"/>
        <v>28</v>
      </c>
      <c r="H12" s="16" t="s">
        <v>24</v>
      </c>
      <c r="I12" s="16">
        <v>8.0</v>
      </c>
      <c r="J12" s="16" t="s">
        <v>16</v>
      </c>
      <c r="K12" s="21">
        <f t="shared" si="4"/>
        <v>4</v>
      </c>
      <c r="L12" s="16" t="s">
        <v>24</v>
      </c>
      <c r="M12" s="16">
        <v>6.0</v>
      </c>
      <c r="N12" s="16" t="s">
        <v>16</v>
      </c>
      <c r="O12" s="21">
        <f t="shared" si="5"/>
        <v>8</v>
      </c>
      <c r="P12" s="16" t="s">
        <v>16</v>
      </c>
      <c r="Q12" s="16">
        <v>3.0</v>
      </c>
      <c r="R12" s="16">
        <v>1.0</v>
      </c>
      <c r="S12" s="21">
        <f t="shared" si="6"/>
        <v>16</v>
      </c>
      <c r="T12" s="16" t="s">
        <v>24</v>
      </c>
      <c r="U12" s="16">
        <v>2.0</v>
      </c>
      <c r="V12" s="16">
        <v>4.0</v>
      </c>
      <c r="W12" s="21">
        <f t="shared" si="7"/>
        <v>22</v>
      </c>
      <c r="X12" s="16" t="s">
        <v>24</v>
      </c>
      <c r="Y12" s="16">
        <v>7.0</v>
      </c>
      <c r="Z12" s="16" t="s">
        <v>16</v>
      </c>
      <c r="AA12" s="21">
        <f t="shared" si="8"/>
        <v>6</v>
      </c>
      <c r="AB12" s="16" t="s">
        <v>24</v>
      </c>
      <c r="AC12" s="16">
        <v>4.0</v>
      </c>
      <c r="AD12" s="16" t="s">
        <v>16</v>
      </c>
      <c r="AE12" s="21">
        <f t="shared" si="9"/>
        <v>12</v>
      </c>
      <c r="AF12" s="16" t="s">
        <v>16</v>
      </c>
      <c r="AG12" s="16" t="s">
        <v>16</v>
      </c>
      <c r="AH12" s="16" t="s">
        <v>16</v>
      </c>
      <c r="AI12" s="21">
        <f t="shared" si="10"/>
        <v>0</v>
      </c>
      <c r="AJ12" s="16" t="s">
        <v>16</v>
      </c>
      <c r="AK12" s="16">
        <v>5.0</v>
      </c>
      <c r="AL12" s="16" t="s">
        <v>16</v>
      </c>
      <c r="AM12" s="21">
        <f t="shared" si="11"/>
        <v>10</v>
      </c>
      <c r="AN12" s="16" t="s">
        <v>16</v>
      </c>
      <c r="AO12" s="16" t="s">
        <v>16</v>
      </c>
      <c r="AP12" s="16" t="s">
        <v>16</v>
      </c>
      <c r="AQ12" s="21">
        <f t="shared" si="12"/>
        <v>0</v>
      </c>
      <c r="AR12" s="16" t="s">
        <v>16</v>
      </c>
      <c r="AS12" s="16" t="s">
        <v>16</v>
      </c>
      <c r="AT12" s="16" t="s">
        <v>16</v>
      </c>
      <c r="AU12" s="21">
        <f t="shared" si="13"/>
        <v>0</v>
      </c>
      <c r="AV12" s="16" t="s">
        <v>16</v>
      </c>
      <c r="AW12" s="16" t="s">
        <v>16</v>
      </c>
      <c r="AX12" s="16" t="s">
        <v>16</v>
      </c>
      <c r="AY12" s="21">
        <f t="shared" si="14"/>
        <v>0</v>
      </c>
      <c r="AZ12" s="16" t="s">
        <v>16</v>
      </c>
      <c r="BA12" s="16" t="s">
        <v>16</v>
      </c>
      <c r="BB12" s="16" t="s">
        <v>16</v>
      </c>
      <c r="BC12" s="21">
        <f t="shared" si="15"/>
        <v>0</v>
      </c>
      <c r="BD12" s="16" t="s">
        <v>16</v>
      </c>
      <c r="BE12" s="16" t="s">
        <v>16</v>
      </c>
      <c r="BF12" s="16" t="s">
        <v>16</v>
      </c>
      <c r="BG12" s="21">
        <f t="shared" si="16"/>
        <v>0</v>
      </c>
      <c r="BH12" s="16" t="s">
        <v>16</v>
      </c>
      <c r="BI12" s="16" t="s">
        <v>16</v>
      </c>
      <c r="BJ12" s="16" t="s">
        <v>16</v>
      </c>
      <c r="BK12" s="21">
        <f t="shared" si="17"/>
        <v>0</v>
      </c>
      <c r="BL12" s="16" t="s">
        <v>16</v>
      </c>
      <c r="BM12" s="16" t="s">
        <v>16</v>
      </c>
      <c r="BN12" s="16" t="s">
        <v>16</v>
      </c>
      <c r="BO12" s="21">
        <f t="shared" si="18"/>
        <v>0</v>
      </c>
      <c r="BP12" s="16" t="s">
        <v>16</v>
      </c>
      <c r="BQ12" s="16" t="s">
        <v>16</v>
      </c>
      <c r="BR12" s="16" t="s">
        <v>16</v>
      </c>
      <c r="BS12" s="21">
        <f t="shared" si="19"/>
        <v>0</v>
      </c>
      <c r="BT12" s="16" t="s">
        <v>16</v>
      </c>
      <c r="BU12" s="16" t="s">
        <v>16</v>
      </c>
      <c r="BV12" s="16" t="s">
        <v>16</v>
      </c>
      <c r="BW12" s="21">
        <f t="shared" si="20"/>
        <v>0</v>
      </c>
    </row>
    <row r="13" ht="13.5" customHeight="1">
      <c r="A13" s="26">
        <v>46133.0</v>
      </c>
      <c r="B13" s="27">
        <f t="shared" si="1"/>
        <v>0</v>
      </c>
      <c r="C13" s="28">
        <f t="shared" si="2"/>
        <v>0</v>
      </c>
      <c r="D13" s="29" t="s">
        <v>16</v>
      </c>
      <c r="E13" s="29" t="s">
        <v>16</v>
      </c>
      <c r="F13" s="29" t="s">
        <v>16</v>
      </c>
      <c r="G13" s="30">
        <f t="shared" si="3"/>
        <v>0</v>
      </c>
      <c r="H13" s="29" t="s">
        <v>16</v>
      </c>
      <c r="I13" s="29" t="s">
        <v>16</v>
      </c>
      <c r="J13" s="29" t="s">
        <v>16</v>
      </c>
      <c r="K13" s="30">
        <f t="shared" si="4"/>
        <v>0</v>
      </c>
      <c r="L13" s="29" t="s">
        <v>16</v>
      </c>
      <c r="M13" s="29" t="s">
        <v>16</v>
      </c>
      <c r="N13" s="29" t="s">
        <v>16</v>
      </c>
      <c r="O13" s="30">
        <f t="shared" si="5"/>
        <v>0</v>
      </c>
      <c r="P13" s="29" t="s">
        <v>16</v>
      </c>
      <c r="Q13" s="29" t="s">
        <v>16</v>
      </c>
      <c r="R13" s="29" t="s">
        <v>16</v>
      </c>
      <c r="S13" s="30">
        <f t="shared" si="6"/>
        <v>0</v>
      </c>
      <c r="T13" s="29" t="s">
        <v>16</v>
      </c>
      <c r="U13" s="29" t="s">
        <v>16</v>
      </c>
      <c r="V13" s="29" t="s">
        <v>16</v>
      </c>
      <c r="W13" s="30">
        <f t="shared" si="7"/>
        <v>0</v>
      </c>
      <c r="X13" s="29" t="s">
        <v>16</v>
      </c>
      <c r="Y13" s="29" t="s">
        <v>16</v>
      </c>
      <c r="Z13" s="29" t="s">
        <v>16</v>
      </c>
      <c r="AA13" s="30">
        <f t="shared" si="8"/>
        <v>0</v>
      </c>
      <c r="AB13" s="29" t="s">
        <v>16</v>
      </c>
      <c r="AC13" s="29" t="s">
        <v>16</v>
      </c>
      <c r="AD13" s="29" t="s">
        <v>16</v>
      </c>
      <c r="AE13" s="30">
        <f t="shared" si="9"/>
        <v>0</v>
      </c>
      <c r="AF13" s="29" t="s">
        <v>16</v>
      </c>
      <c r="AG13" s="29" t="s">
        <v>16</v>
      </c>
      <c r="AH13" s="29" t="s">
        <v>16</v>
      </c>
      <c r="AI13" s="30">
        <f t="shared" si="10"/>
        <v>0</v>
      </c>
      <c r="AJ13" s="29" t="s">
        <v>16</v>
      </c>
      <c r="AK13" s="29" t="s">
        <v>16</v>
      </c>
      <c r="AL13" s="29" t="s">
        <v>16</v>
      </c>
      <c r="AM13" s="30">
        <f t="shared" si="11"/>
        <v>0</v>
      </c>
      <c r="AN13" s="29" t="s">
        <v>16</v>
      </c>
      <c r="AO13" s="29" t="s">
        <v>16</v>
      </c>
      <c r="AP13" s="29" t="s">
        <v>16</v>
      </c>
      <c r="AQ13" s="30">
        <f t="shared" si="12"/>
        <v>0</v>
      </c>
      <c r="AR13" s="29" t="s">
        <v>16</v>
      </c>
      <c r="AS13" s="29" t="s">
        <v>16</v>
      </c>
      <c r="AT13" s="29" t="s">
        <v>16</v>
      </c>
      <c r="AU13" s="30">
        <f t="shared" si="13"/>
        <v>0</v>
      </c>
      <c r="AV13" s="29" t="s">
        <v>16</v>
      </c>
      <c r="AW13" s="29" t="s">
        <v>16</v>
      </c>
      <c r="AX13" s="29" t="s">
        <v>16</v>
      </c>
      <c r="AY13" s="30">
        <f t="shared" si="14"/>
        <v>0</v>
      </c>
      <c r="AZ13" s="29" t="s">
        <v>16</v>
      </c>
      <c r="BA13" s="29" t="s">
        <v>16</v>
      </c>
      <c r="BB13" s="29" t="s">
        <v>16</v>
      </c>
      <c r="BC13" s="30">
        <f t="shared" si="15"/>
        <v>0</v>
      </c>
      <c r="BD13" s="29" t="s">
        <v>16</v>
      </c>
      <c r="BE13" s="29" t="s">
        <v>16</v>
      </c>
      <c r="BF13" s="29" t="s">
        <v>16</v>
      </c>
      <c r="BG13" s="30">
        <f t="shared" si="16"/>
        <v>0</v>
      </c>
      <c r="BH13" s="29" t="s">
        <v>16</v>
      </c>
      <c r="BI13" s="29" t="s">
        <v>16</v>
      </c>
      <c r="BJ13" s="29" t="s">
        <v>16</v>
      </c>
      <c r="BK13" s="30">
        <f t="shared" si="17"/>
        <v>0</v>
      </c>
      <c r="BL13" s="29" t="s">
        <v>16</v>
      </c>
      <c r="BM13" s="29" t="s">
        <v>16</v>
      </c>
      <c r="BN13" s="29" t="s">
        <v>16</v>
      </c>
      <c r="BO13" s="30">
        <f t="shared" si="18"/>
        <v>0</v>
      </c>
      <c r="BP13" s="29" t="s">
        <v>16</v>
      </c>
      <c r="BQ13" s="29" t="s">
        <v>16</v>
      </c>
      <c r="BR13" s="29" t="s">
        <v>16</v>
      </c>
      <c r="BS13" s="30">
        <f t="shared" si="19"/>
        <v>0</v>
      </c>
      <c r="BT13" s="29" t="s">
        <v>16</v>
      </c>
      <c r="BU13" s="29" t="s">
        <v>16</v>
      </c>
      <c r="BV13" s="29" t="s">
        <v>16</v>
      </c>
      <c r="BW13" s="30">
        <f t="shared" si="20"/>
        <v>0</v>
      </c>
    </row>
    <row r="14" ht="13.5" customHeight="1">
      <c r="A14" s="18">
        <v>46140.0</v>
      </c>
      <c r="B14" s="19">
        <f t="shared" si="1"/>
        <v>8</v>
      </c>
      <c r="C14" s="20">
        <f t="shared" si="2"/>
        <v>50</v>
      </c>
      <c r="D14" s="16" t="s">
        <v>24</v>
      </c>
      <c r="E14" s="16">
        <v>8.0</v>
      </c>
      <c r="F14" s="16" t="s">
        <v>16</v>
      </c>
      <c r="G14" s="21">
        <f t="shared" si="3"/>
        <v>4</v>
      </c>
      <c r="H14" s="16" t="s">
        <v>24</v>
      </c>
      <c r="I14" s="16">
        <v>2.0</v>
      </c>
      <c r="J14" s="16">
        <v>1.0</v>
      </c>
      <c r="K14" s="21">
        <f t="shared" si="4"/>
        <v>19</v>
      </c>
      <c r="L14" s="16" t="s">
        <v>24</v>
      </c>
      <c r="M14" s="16">
        <v>5.0</v>
      </c>
      <c r="N14" s="16" t="s">
        <v>16</v>
      </c>
      <c r="O14" s="21">
        <f t="shared" si="5"/>
        <v>10</v>
      </c>
      <c r="P14" s="16" t="s">
        <v>24</v>
      </c>
      <c r="Q14" s="16">
        <v>4.0</v>
      </c>
      <c r="R14" s="16">
        <v>1.0</v>
      </c>
      <c r="S14" s="21">
        <f t="shared" si="6"/>
        <v>13</v>
      </c>
      <c r="T14" s="16" t="s">
        <v>24</v>
      </c>
      <c r="U14" s="16">
        <v>1.0</v>
      </c>
      <c r="V14" s="16">
        <v>4.0</v>
      </c>
      <c r="W14" s="21">
        <f t="shared" si="7"/>
        <v>29</v>
      </c>
      <c r="X14" s="16" t="s">
        <v>24</v>
      </c>
      <c r="Y14" s="16">
        <v>3.0</v>
      </c>
      <c r="Z14" s="16">
        <v>2.0</v>
      </c>
      <c r="AA14" s="21">
        <f t="shared" si="8"/>
        <v>17</v>
      </c>
      <c r="AB14" s="16" t="s">
        <v>24</v>
      </c>
      <c r="AC14" s="16">
        <v>6.0</v>
      </c>
      <c r="AD14" s="16" t="s">
        <v>16</v>
      </c>
      <c r="AE14" s="21">
        <f t="shared" si="9"/>
        <v>8</v>
      </c>
      <c r="AF14" s="16" t="s">
        <v>16</v>
      </c>
      <c r="AG14" s="16" t="s">
        <v>16</v>
      </c>
      <c r="AH14" s="16" t="s">
        <v>16</v>
      </c>
      <c r="AI14" s="21">
        <f t="shared" si="10"/>
        <v>0</v>
      </c>
      <c r="AJ14" s="16" t="s">
        <v>24</v>
      </c>
      <c r="AK14" s="16">
        <v>7.0</v>
      </c>
      <c r="AL14" s="16" t="s">
        <v>16</v>
      </c>
      <c r="AM14" s="21">
        <f t="shared" si="11"/>
        <v>6</v>
      </c>
      <c r="AN14" s="16" t="s">
        <v>16</v>
      </c>
      <c r="AO14" s="16" t="s">
        <v>16</v>
      </c>
      <c r="AP14" s="16" t="s">
        <v>16</v>
      </c>
      <c r="AQ14" s="21">
        <f t="shared" si="12"/>
        <v>0</v>
      </c>
      <c r="AR14" s="16" t="s">
        <v>16</v>
      </c>
      <c r="AS14" s="16" t="s">
        <v>16</v>
      </c>
      <c r="AT14" s="16" t="s">
        <v>16</v>
      </c>
      <c r="AU14" s="21">
        <f t="shared" si="13"/>
        <v>0</v>
      </c>
      <c r="AV14" s="16" t="s">
        <v>16</v>
      </c>
      <c r="AW14" s="16" t="s">
        <v>16</v>
      </c>
      <c r="AX14" s="16" t="s">
        <v>16</v>
      </c>
      <c r="AY14" s="21">
        <f t="shared" si="14"/>
        <v>0</v>
      </c>
      <c r="AZ14" s="16" t="s">
        <v>16</v>
      </c>
      <c r="BA14" s="16" t="s">
        <v>16</v>
      </c>
      <c r="BB14" s="16" t="s">
        <v>16</v>
      </c>
      <c r="BC14" s="21">
        <f t="shared" si="15"/>
        <v>0</v>
      </c>
      <c r="BD14" s="16" t="s">
        <v>16</v>
      </c>
      <c r="BE14" s="16" t="s">
        <v>16</v>
      </c>
      <c r="BF14" s="16" t="s">
        <v>16</v>
      </c>
      <c r="BG14" s="21">
        <f t="shared" si="16"/>
        <v>0</v>
      </c>
      <c r="BH14" s="16" t="s">
        <v>16</v>
      </c>
      <c r="BI14" s="16" t="s">
        <v>16</v>
      </c>
      <c r="BJ14" s="16" t="s">
        <v>16</v>
      </c>
      <c r="BK14" s="21">
        <f t="shared" si="17"/>
        <v>0</v>
      </c>
      <c r="BL14" s="16" t="s">
        <v>16</v>
      </c>
      <c r="BM14" s="16" t="s">
        <v>16</v>
      </c>
      <c r="BN14" s="16" t="s">
        <v>16</v>
      </c>
      <c r="BO14" s="21">
        <f t="shared" si="18"/>
        <v>0</v>
      </c>
      <c r="BP14" s="16" t="s">
        <v>16</v>
      </c>
      <c r="BQ14" s="16" t="s">
        <v>16</v>
      </c>
      <c r="BR14" s="16" t="s">
        <v>16</v>
      </c>
      <c r="BS14" s="21">
        <f t="shared" si="19"/>
        <v>0</v>
      </c>
      <c r="BT14" s="16" t="s">
        <v>16</v>
      </c>
      <c r="BU14" s="16" t="s">
        <v>16</v>
      </c>
      <c r="BV14" s="16" t="s">
        <v>16</v>
      </c>
      <c r="BW14" s="21">
        <f t="shared" si="20"/>
        <v>0</v>
      </c>
    </row>
    <row r="15" ht="13.5" customHeight="1">
      <c r="A15" s="18">
        <v>46147.0</v>
      </c>
      <c r="B15" s="19">
        <f t="shared" si="1"/>
        <v>9</v>
      </c>
      <c r="C15" s="20">
        <f t="shared" si="2"/>
        <v>60</v>
      </c>
      <c r="D15" s="16" t="s">
        <v>24</v>
      </c>
      <c r="E15" s="16">
        <v>2.0</v>
      </c>
      <c r="F15" s="16">
        <v>3.0</v>
      </c>
      <c r="G15" s="21">
        <f t="shared" si="3"/>
        <v>21</v>
      </c>
      <c r="H15" s="16" t="s">
        <v>24</v>
      </c>
      <c r="I15" s="16">
        <v>8.0</v>
      </c>
      <c r="J15" s="16" t="s">
        <v>16</v>
      </c>
      <c r="K15" s="21">
        <f t="shared" si="4"/>
        <v>4</v>
      </c>
      <c r="L15" s="16" t="s">
        <v>24</v>
      </c>
      <c r="M15" s="16">
        <v>1.0</v>
      </c>
      <c r="N15" s="16">
        <v>4.0</v>
      </c>
      <c r="O15" s="21">
        <f t="shared" si="5"/>
        <v>29</v>
      </c>
      <c r="P15" s="16" t="s">
        <v>24</v>
      </c>
      <c r="Q15" s="16">
        <v>9.0</v>
      </c>
      <c r="R15" s="16" t="s">
        <v>16</v>
      </c>
      <c r="S15" s="21">
        <f t="shared" si="6"/>
        <v>2</v>
      </c>
      <c r="T15" s="16" t="s">
        <v>24</v>
      </c>
      <c r="U15" s="16">
        <v>4.0</v>
      </c>
      <c r="V15" s="16">
        <v>1.0</v>
      </c>
      <c r="W15" s="21">
        <f t="shared" si="7"/>
        <v>13</v>
      </c>
      <c r="X15" s="16" t="s">
        <v>24</v>
      </c>
      <c r="Y15" s="16">
        <v>3.0</v>
      </c>
      <c r="Z15" s="16" t="s">
        <v>16</v>
      </c>
      <c r="AA15" s="21">
        <f t="shared" si="8"/>
        <v>15</v>
      </c>
      <c r="AB15" s="16" t="s">
        <v>24</v>
      </c>
      <c r="AC15" s="16">
        <v>6.0</v>
      </c>
      <c r="AD15" s="16" t="s">
        <v>16</v>
      </c>
      <c r="AE15" s="21">
        <f t="shared" si="9"/>
        <v>8</v>
      </c>
      <c r="AF15" s="16" t="s">
        <v>24</v>
      </c>
      <c r="AG15" s="16">
        <v>7.0</v>
      </c>
      <c r="AH15" s="16" t="s">
        <v>16</v>
      </c>
      <c r="AI15" s="21">
        <f t="shared" si="10"/>
        <v>6</v>
      </c>
      <c r="AJ15" s="16" t="s">
        <v>24</v>
      </c>
      <c r="AK15" s="16">
        <v>5.0</v>
      </c>
      <c r="AL15" s="16">
        <v>1.0</v>
      </c>
      <c r="AM15" s="21">
        <f t="shared" si="11"/>
        <v>11</v>
      </c>
      <c r="AN15" s="16" t="s">
        <v>16</v>
      </c>
      <c r="AO15" s="16" t="s">
        <v>16</v>
      </c>
      <c r="AP15" s="16" t="s">
        <v>16</v>
      </c>
      <c r="AQ15" s="21">
        <f t="shared" si="12"/>
        <v>0</v>
      </c>
      <c r="AR15" s="16" t="s">
        <v>16</v>
      </c>
      <c r="AS15" s="16" t="s">
        <v>16</v>
      </c>
      <c r="AT15" s="16" t="s">
        <v>16</v>
      </c>
      <c r="AU15" s="21">
        <f t="shared" si="13"/>
        <v>0</v>
      </c>
      <c r="AV15" s="16" t="s">
        <v>16</v>
      </c>
      <c r="AW15" s="16" t="s">
        <v>16</v>
      </c>
      <c r="AX15" s="16" t="s">
        <v>16</v>
      </c>
      <c r="AY15" s="21">
        <f t="shared" si="14"/>
        <v>0</v>
      </c>
      <c r="AZ15" s="16" t="s">
        <v>16</v>
      </c>
      <c r="BA15" s="16" t="s">
        <v>16</v>
      </c>
      <c r="BB15" s="16" t="s">
        <v>16</v>
      </c>
      <c r="BC15" s="21">
        <f t="shared" si="15"/>
        <v>0</v>
      </c>
      <c r="BD15" s="16" t="s">
        <v>16</v>
      </c>
      <c r="BE15" s="16" t="s">
        <v>16</v>
      </c>
      <c r="BF15" s="16" t="s">
        <v>16</v>
      </c>
      <c r="BG15" s="21">
        <f t="shared" si="16"/>
        <v>0</v>
      </c>
      <c r="BH15" s="16" t="s">
        <v>16</v>
      </c>
      <c r="BI15" s="16" t="s">
        <v>16</v>
      </c>
      <c r="BJ15" s="16" t="s">
        <v>16</v>
      </c>
      <c r="BK15" s="21">
        <f t="shared" si="17"/>
        <v>0</v>
      </c>
      <c r="BL15" s="16" t="s">
        <v>16</v>
      </c>
      <c r="BM15" s="16" t="s">
        <v>16</v>
      </c>
      <c r="BN15" s="16" t="s">
        <v>16</v>
      </c>
      <c r="BO15" s="21">
        <f t="shared" si="18"/>
        <v>0</v>
      </c>
      <c r="BP15" s="16" t="s">
        <v>16</v>
      </c>
      <c r="BQ15" s="16" t="s">
        <v>16</v>
      </c>
      <c r="BR15" s="16" t="s">
        <v>16</v>
      </c>
      <c r="BS15" s="21">
        <f t="shared" si="19"/>
        <v>0</v>
      </c>
      <c r="BT15" s="16" t="s">
        <v>16</v>
      </c>
      <c r="BU15" s="16" t="s">
        <v>16</v>
      </c>
      <c r="BV15" s="16" t="s">
        <v>16</v>
      </c>
      <c r="BW15" s="21">
        <f t="shared" si="20"/>
        <v>0</v>
      </c>
    </row>
    <row r="16" ht="13.5" customHeight="1">
      <c r="A16" s="18">
        <v>46154.0</v>
      </c>
      <c r="B16" s="19">
        <f t="shared" si="1"/>
        <v>8</v>
      </c>
      <c r="C16" s="20">
        <f t="shared" si="2"/>
        <v>50</v>
      </c>
      <c r="D16" s="16" t="s">
        <v>24</v>
      </c>
      <c r="E16" s="16">
        <v>3.0</v>
      </c>
      <c r="F16" s="16">
        <v>2.0</v>
      </c>
      <c r="G16" s="21">
        <f t="shared" si="3"/>
        <v>17</v>
      </c>
      <c r="H16" s="16" t="s">
        <v>24</v>
      </c>
      <c r="I16" s="16">
        <v>6.0</v>
      </c>
      <c r="J16" s="16" t="s">
        <v>16</v>
      </c>
      <c r="K16" s="21">
        <f t="shared" si="4"/>
        <v>8</v>
      </c>
      <c r="L16" s="16" t="s">
        <v>25</v>
      </c>
      <c r="M16" s="16">
        <v>1.0</v>
      </c>
      <c r="N16" s="16">
        <v>3.0</v>
      </c>
      <c r="O16" s="21">
        <f t="shared" si="5"/>
        <v>28</v>
      </c>
      <c r="P16" s="16" t="s">
        <v>16</v>
      </c>
      <c r="Q16" s="16" t="s">
        <v>16</v>
      </c>
      <c r="R16" s="16" t="s">
        <v>16</v>
      </c>
      <c r="S16" s="21">
        <f t="shared" si="6"/>
        <v>0</v>
      </c>
      <c r="T16" s="16" t="s">
        <v>24</v>
      </c>
      <c r="U16" s="16">
        <v>2.0</v>
      </c>
      <c r="V16" s="16">
        <v>2.0</v>
      </c>
      <c r="W16" s="21">
        <f t="shared" si="7"/>
        <v>20</v>
      </c>
      <c r="X16" s="16" t="s">
        <v>24</v>
      </c>
      <c r="Y16" s="16">
        <v>7.0</v>
      </c>
      <c r="Z16" s="16" t="s">
        <v>16</v>
      </c>
      <c r="AA16" s="21">
        <f t="shared" si="8"/>
        <v>6</v>
      </c>
      <c r="AB16" s="16" t="s">
        <v>16</v>
      </c>
      <c r="AC16" s="16" t="s">
        <v>16</v>
      </c>
      <c r="AD16" s="16" t="s">
        <v>16</v>
      </c>
      <c r="AE16" s="21">
        <f t="shared" si="9"/>
        <v>0</v>
      </c>
      <c r="AF16" s="16" t="s">
        <v>24</v>
      </c>
      <c r="AG16" s="16">
        <v>4.0</v>
      </c>
      <c r="AH16" s="16" t="s">
        <v>16</v>
      </c>
      <c r="AI16" s="21">
        <f t="shared" si="10"/>
        <v>12</v>
      </c>
      <c r="AJ16" s="16" t="s">
        <v>24</v>
      </c>
      <c r="AK16" s="16">
        <v>8.0</v>
      </c>
      <c r="AL16" s="16" t="s">
        <v>16</v>
      </c>
      <c r="AM16" s="21">
        <f t="shared" si="11"/>
        <v>4</v>
      </c>
      <c r="AN16" s="16" t="s">
        <v>16</v>
      </c>
      <c r="AO16" s="16" t="s">
        <v>16</v>
      </c>
      <c r="AP16" s="16" t="s">
        <v>16</v>
      </c>
      <c r="AQ16" s="21">
        <f t="shared" si="12"/>
        <v>0</v>
      </c>
      <c r="AR16" s="16" t="s">
        <v>16</v>
      </c>
      <c r="AS16" s="16" t="s">
        <v>16</v>
      </c>
      <c r="AT16" s="16" t="s">
        <v>16</v>
      </c>
      <c r="AU16" s="21">
        <f t="shared" si="13"/>
        <v>0</v>
      </c>
      <c r="AV16" s="16" t="s">
        <v>24</v>
      </c>
      <c r="AW16" s="16">
        <v>5.0</v>
      </c>
      <c r="AX16" s="16">
        <v>1.0</v>
      </c>
      <c r="AY16" s="21">
        <f t="shared" si="14"/>
        <v>11</v>
      </c>
      <c r="AZ16" s="16" t="s">
        <v>16</v>
      </c>
      <c r="BA16" s="16" t="s">
        <v>16</v>
      </c>
      <c r="BB16" s="16" t="s">
        <v>16</v>
      </c>
      <c r="BC16" s="21">
        <f t="shared" si="15"/>
        <v>0</v>
      </c>
      <c r="BD16" s="16" t="s">
        <v>16</v>
      </c>
      <c r="BE16" s="16" t="s">
        <v>16</v>
      </c>
      <c r="BF16" s="16" t="s">
        <v>16</v>
      </c>
      <c r="BG16" s="21">
        <f t="shared" si="16"/>
        <v>0</v>
      </c>
      <c r="BH16" s="16" t="s">
        <v>16</v>
      </c>
      <c r="BI16" s="16" t="s">
        <v>16</v>
      </c>
      <c r="BJ16" s="16" t="s">
        <v>16</v>
      </c>
      <c r="BK16" s="21">
        <f t="shared" si="17"/>
        <v>0</v>
      </c>
      <c r="BL16" s="16" t="s">
        <v>16</v>
      </c>
      <c r="BM16" s="16" t="s">
        <v>16</v>
      </c>
      <c r="BN16" s="16" t="s">
        <v>16</v>
      </c>
      <c r="BO16" s="21">
        <f t="shared" si="18"/>
        <v>0</v>
      </c>
      <c r="BP16" s="16" t="s">
        <v>16</v>
      </c>
      <c r="BQ16" s="16" t="s">
        <v>16</v>
      </c>
      <c r="BR16" s="16" t="s">
        <v>16</v>
      </c>
      <c r="BS16" s="21">
        <f t="shared" si="19"/>
        <v>0</v>
      </c>
      <c r="BT16" s="16" t="s">
        <v>16</v>
      </c>
      <c r="BU16" s="16" t="s">
        <v>16</v>
      </c>
      <c r="BV16" s="16" t="s">
        <v>16</v>
      </c>
      <c r="BW16" s="21">
        <f t="shared" si="20"/>
        <v>0</v>
      </c>
    </row>
    <row r="17" ht="13.5" customHeight="1">
      <c r="A17" s="18">
        <v>46161.0</v>
      </c>
      <c r="B17" s="19">
        <f t="shared" si="1"/>
        <v>8</v>
      </c>
      <c r="C17" s="20">
        <f t="shared" si="2"/>
        <v>50</v>
      </c>
      <c r="D17" s="16"/>
      <c r="E17" s="16">
        <v>6.0</v>
      </c>
      <c r="F17" s="16" t="s">
        <v>16</v>
      </c>
      <c r="G17" s="21">
        <f t="shared" si="3"/>
        <v>8</v>
      </c>
      <c r="H17" s="16" t="s">
        <v>24</v>
      </c>
      <c r="I17" s="16">
        <v>1.0</v>
      </c>
      <c r="J17" s="16">
        <v>3.0</v>
      </c>
      <c r="K17" s="21">
        <f t="shared" si="4"/>
        <v>28</v>
      </c>
      <c r="L17" s="16" t="s">
        <v>24</v>
      </c>
      <c r="M17" s="16">
        <v>2.0</v>
      </c>
      <c r="N17" s="16">
        <v>1.0</v>
      </c>
      <c r="O17" s="21">
        <f t="shared" si="5"/>
        <v>19</v>
      </c>
      <c r="P17" s="16" t="s">
        <v>16</v>
      </c>
      <c r="Q17" s="16" t="s">
        <v>16</v>
      </c>
      <c r="R17" s="16" t="s">
        <v>16</v>
      </c>
      <c r="S17" s="21">
        <f t="shared" si="6"/>
        <v>0</v>
      </c>
      <c r="T17" s="16" t="s">
        <v>24</v>
      </c>
      <c r="U17" s="16">
        <v>5.0</v>
      </c>
      <c r="V17" s="16" t="s">
        <v>16</v>
      </c>
      <c r="W17" s="21">
        <f t="shared" si="7"/>
        <v>10</v>
      </c>
      <c r="X17" s="16"/>
      <c r="Y17" s="16">
        <v>4.0</v>
      </c>
      <c r="Z17" s="16">
        <v>2.0</v>
      </c>
      <c r="AA17" s="21">
        <f t="shared" si="8"/>
        <v>14</v>
      </c>
      <c r="AB17" s="16" t="s">
        <v>24</v>
      </c>
      <c r="AC17" s="16">
        <v>3.0</v>
      </c>
      <c r="AD17" s="16">
        <v>2.0</v>
      </c>
      <c r="AE17" s="21">
        <f t="shared" si="9"/>
        <v>17</v>
      </c>
      <c r="AF17" s="16" t="s">
        <v>24</v>
      </c>
      <c r="AG17" s="16">
        <v>8.0</v>
      </c>
      <c r="AH17" s="16" t="s">
        <v>16</v>
      </c>
      <c r="AI17" s="21">
        <f t="shared" si="10"/>
        <v>4</v>
      </c>
      <c r="AJ17" s="16" t="s">
        <v>16</v>
      </c>
      <c r="AK17" s="16" t="s">
        <v>16</v>
      </c>
      <c r="AL17" s="16" t="s">
        <v>16</v>
      </c>
      <c r="AM17" s="21">
        <f t="shared" si="11"/>
        <v>0</v>
      </c>
      <c r="AN17" s="16" t="s">
        <v>16</v>
      </c>
      <c r="AO17" s="16" t="s">
        <v>16</v>
      </c>
      <c r="AP17" s="16" t="s">
        <v>16</v>
      </c>
      <c r="AQ17" s="21">
        <f t="shared" si="12"/>
        <v>0</v>
      </c>
      <c r="AR17" s="16" t="s">
        <v>16</v>
      </c>
      <c r="AS17" s="16" t="s">
        <v>16</v>
      </c>
      <c r="AT17" s="16" t="s">
        <v>16</v>
      </c>
      <c r="AU17" s="21">
        <f t="shared" si="13"/>
        <v>0</v>
      </c>
      <c r="AV17" s="16" t="s">
        <v>24</v>
      </c>
      <c r="AW17" s="16">
        <v>7.0</v>
      </c>
      <c r="AX17" s="16" t="s">
        <v>16</v>
      </c>
      <c r="AY17" s="21">
        <f t="shared" si="14"/>
        <v>6</v>
      </c>
      <c r="AZ17" s="16" t="s">
        <v>16</v>
      </c>
      <c r="BA17" s="16" t="s">
        <v>16</v>
      </c>
      <c r="BB17" s="16" t="s">
        <v>16</v>
      </c>
      <c r="BC17" s="21">
        <f t="shared" si="15"/>
        <v>0</v>
      </c>
      <c r="BD17" s="16" t="s">
        <v>16</v>
      </c>
      <c r="BE17" s="16" t="s">
        <v>16</v>
      </c>
      <c r="BF17" s="16" t="s">
        <v>16</v>
      </c>
      <c r="BG17" s="21">
        <f t="shared" si="16"/>
        <v>0</v>
      </c>
      <c r="BH17" s="16" t="s">
        <v>16</v>
      </c>
      <c r="BI17" s="16" t="s">
        <v>16</v>
      </c>
      <c r="BJ17" s="16" t="s">
        <v>16</v>
      </c>
      <c r="BK17" s="21">
        <f t="shared" si="17"/>
        <v>0</v>
      </c>
      <c r="BL17" s="16" t="s">
        <v>16</v>
      </c>
      <c r="BM17" s="16" t="s">
        <v>16</v>
      </c>
      <c r="BN17" s="16" t="s">
        <v>16</v>
      </c>
      <c r="BO17" s="21">
        <f t="shared" si="18"/>
        <v>0</v>
      </c>
      <c r="BP17" s="16" t="s">
        <v>16</v>
      </c>
      <c r="BQ17" s="16" t="s">
        <v>16</v>
      </c>
      <c r="BR17" s="16" t="s">
        <v>16</v>
      </c>
      <c r="BS17" s="21">
        <f t="shared" si="19"/>
        <v>0</v>
      </c>
      <c r="BT17" s="16" t="s">
        <v>16</v>
      </c>
      <c r="BU17" s="16" t="s">
        <v>16</v>
      </c>
      <c r="BV17" s="16" t="s">
        <v>16</v>
      </c>
      <c r="BW17" s="21">
        <f t="shared" si="20"/>
        <v>0</v>
      </c>
    </row>
    <row r="18" ht="13.5" customHeight="1">
      <c r="A18" s="18">
        <v>46168.0</v>
      </c>
      <c r="B18" s="19">
        <f t="shared" si="1"/>
        <v>9</v>
      </c>
      <c r="C18" s="20">
        <f t="shared" si="2"/>
        <v>60</v>
      </c>
      <c r="D18" s="16" t="s">
        <v>24</v>
      </c>
      <c r="E18" s="16">
        <v>5.0</v>
      </c>
      <c r="F18" s="16">
        <v>1.0</v>
      </c>
      <c r="G18" s="21">
        <f t="shared" si="3"/>
        <v>11</v>
      </c>
      <c r="H18" s="16" t="s">
        <v>24</v>
      </c>
      <c r="I18" s="16">
        <v>4.0</v>
      </c>
      <c r="J18" s="16">
        <v>1.0</v>
      </c>
      <c r="K18" s="21">
        <f t="shared" si="4"/>
        <v>13</v>
      </c>
      <c r="L18" s="16" t="s">
        <v>24</v>
      </c>
      <c r="M18" s="16">
        <v>6.0</v>
      </c>
      <c r="N18" s="16" t="s">
        <v>16</v>
      </c>
      <c r="O18" s="21">
        <f t="shared" si="5"/>
        <v>8</v>
      </c>
      <c r="P18" s="16" t="s">
        <v>24</v>
      </c>
      <c r="Q18" s="16">
        <v>1.0</v>
      </c>
      <c r="R18" s="16">
        <v>3.0</v>
      </c>
      <c r="S18" s="21">
        <f t="shared" si="6"/>
        <v>28</v>
      </c>
      <c r="T18" s="16" t="s">
        <v>24</v>
      </c>
      <c r="U18" s="16">
        <v>8.0</v>
      </c>
      <c r="V18" s="16" t="s">
        <v>16</v>
      </c>
      <c r="W18" s="21">
        <f t="shared" si="7"/>
        <v>4</v>
      </c>
      <c r="X18" s="16" t="s">
        <v>16</v>
      </c>
      <c r="Y18" s="16" t="s">
        <v>16</v>
      </c>
      <c r="Z18" s="16" t="s">
        <v>16</v>
      </c>
      <c r="AA18" s="21">
        <f t="shared" si="8"/>
        <v>0</v>
      </c>
      <c r="AB18" s="16" t="s">
        <v>24</v>
      </c>
      <c r="AC18" s="16">
        <v>9.0</v>
      </c>
      <c r="AD18" s="16" t="s">
        <v>16</v>
      </c>
      <c r="AE18" s="21">
        <f t="shared" si="9"/>
        <v>2</v>
      </c>
      <c r="AF18" s="16" t="s">
        <v>24</v>
      </c>
      <c r="AG18" s="16">
        <v>3.0</v>
      </c>
      <c r="AH18" s="16">
        <v>1.0</v>
      </c>
      <c r="AI18" s="21">
        <f t="shared" si="10"/>
        <v>16</v>
      </c>
      <c r="AJ18" s="16" t="s">
        <v>24</v>
      </c>
      <c r="AK18" s="16">
        <v>2.0</v>
      </c>
      <c r="AL18" s="16">
        <v>2.0</v>
      </c>
      <c r="AM18" s="21">
        <f t="shared" si="11"/>
        <v>20</v>
      </c>
      <c r="AN18" s="16" t="s">
        <v>16</v>
      </c>
      <c r="AO18" s="16" t="s">
        <v>16</v>
      </c>
      <c r="AP18" s="16" t="s">
        <v>16</v>
      </c>
      <c r="AQ18" s="21">
        <f t="shared" si="12"/>
        <v>0</v>
      </c>
      <c r="AR18" s="16" t="s">
        <v>16</v>
      </c>
      <c r="AS18" s="16" t="s">
        <v>16</v>
      </c>
      <c r="AT18" s="16" t="s">
        <v>16</v>
      </c>
      <c r="AU18" s="21">
        <f t="shared" si="13"/>
        <v>0</v>
      </c>
      <c r="AV18" s="16" t="s">
        <v>24</v>
      </c>
      <c r="AW18" s="16">
        <v>7.0</v>
      </c>
      <c r="AX18" s="16" t="s">
        <v>16</v>
      </c>
      <c r="AY18" s="21">
        <f t="shared" si="14"/>
        <v>6</v>
      </c>
      <c r="AZ18" s="16" t="s">
        <v>16</v>
      </c>
      <c r="BA18" s="16" t="s">
        <v>16</v>
      </c>
      <c r="BB18" s="16" t="s">
        <v>16</v>
      </c>
      <c r="BC18" s="21">
        <f t="shared" si="15"/>
        <v>0</v>
      </c>
      <c r="BD18" s="16" t="s">
        <v>16</v>
      </c>
      <c r="BE18" s="16" t="s">
        <v>16</v>
      </c>
      <c r="BF18" s="16" t="s">
        <v>16</v>
      </c>
      <c r="BG18" s="21">
        <f t="shared" si="16"/>
        <v>0</v>
      </c>
      <c r="BH18" s="16" t="s">
        <v>16</v>
      </c>
      <c r="BI18" s="16" t="s">
        <v>16</v>
      </c>
      <c r="BJ18" s="16" t="s">
        <v>16</v>
      </c>
      <c r="BK18" s="21">
        <f t="shared" si="17"/>
        <v>0</v>
      </c>
      <c r="BL18" s="16" t="s">
        <v>16</v>
      </c>
      <c r="BM18" s="16" t="s">
        <v>16</v>
      </c>
      <c r="BN18" s="16" t="s">
        <v>16</v>
      </c>
      <c r="BO18" s="21">
        <f t="shared" si="18"/>
        <v>0</v>
      </c>
      <c r="BP18" s="16" t="s">
        <v>16</v>
      </c>
      <c r="BQ18" s="16" t="s">
        <v>16</v>
      </c>
      <c r="BR18" s="16" t="s">
        <v>16</v>
      </c>
      <c r="BS18" s="21">
        <f t="shared" si="19"/>
        <v>0</v>
      </c>
      <c r="BT18" s="16" t="s">
        <v>16</v>
      </c>
      <c r="BU18" s="16" t="s">
        <v>16</v>
      </c>
      <c r="BV18" s="16" t="s">
        <v>16</v>
      </c>
      <c r="BW18" s="21">
        <f t="shared" si="20"/>
        <v>0</v>
      </c>
    </row>
    <row r="19" ht="13.5" customHeight="1">
      <c r="A19" s="18">
        <v>46175.0</v>
      </c>
      <c r="B19" s="19">
        <f t="shared" si="1"/>
        <v>9</v>
      </c>
      <c r="C19" s="20">
        <f t="shared" si="2"/>
        <v>60</v>
      </c>
      <c r="D19" s="16" t="s">
        <v>24</v>
      </c>
      <c r="E19" s="16">
        <v>1.0</v>
      </c>
      <c r="F19" s="16">
        <v>4.0</v>
      </c>
      <c r="G19" s="21">
        <f t="shared" si="3"/>
        <v>29</v>
      </c>
      <c r="H19" s="16" t="s">
        <v>24</v>
      </c>
      <c r="I19" s="16">
        <v>9.0</v>
      </c>
      <c r="J19" s="16" t="s">
        <v>16</v>
      </c>
      <c r="K19" s="21">
        <f t="shared" si="4"/>
        <v>2</v>
      </c>
      <c r="L19" s="16" t="s">
        <v>24</v>
      </c>
      <c r="M19" s="16">
        <v>7.0</v>
      </c>
      <c r="N19" s="16" t="s">
        <v>16</v>
      </c>
      <c r="O19" s="21">
        <f t="shared" si="5"/>
        <v>6</v>
      </c>
      <c r="P19" s="16" t="s">
        <v>24</v>
      </c>
      <c r="Q19" s="16">
        <v>3.0</v>
      </c>
      <c r="R19" s="16" t="s">
        <v>16</v>
      </c>
      <c r="S19" s="21">
        <f t="shared" si="6"/>
        <v>15</v>
      </c>
      <c r="T19" s="16" t="s">
        <v>24</v>
      </c>
      <c r="U19" s="16">
        <v>2.0</v>
      </c>
      <c r="V19" s="16">
        <v>3.0</v>
      </c>
      <c r="W19" s="21">
        <f t="shared" si="7"/>
        <v>21</v>
      </c>
      <c r="X19" s="16" t="s">
        <v>24</v>
      </c>
      <c r="Y19" s="16">
        <v>8.0</v>
      </c>
      <c r="Z19" s="16" t="s">
        <v>16</v>
      </c>
      <c r="AA19" s="21">
        <f t="shared" si="8"/>
        <v>4</v>
      </c>
      <c r="AB19" s="16" t="s">
        <v>24</v>
      </c>
      <c r="AC19" s="16">
        <v>5.0</v>
      </c>
      <c r="AD19" s="16">
        <v>2.0</v>
      </c>
      <c r="AE19" s="21">
        <f t="shared" si="9"/>
        <v>12</v>
      </c>
      <c r="AF19" s="16" t="s">
        <v>24</v>
      </c>
      <c r="AG19" s="16">
        <v>6.0</v>
      </c>
      <c r="AH19" s="16" t="s">
        <v>16</v>
      </c>
      <c r="AI19" s="21">
        <f t="shared" si="10"/>
        <v>8</v>
      </c>
      <c r="AJ19" s="16" t="s">
        <v>24</v>
      </c>
      <c r="AK19" s="16">
        <v>4.0</v>
      </c>
      <c r="AL19" s="16" t="s">
        <v>16</v>
      </c>
      <c r="AM19" s="21">
        <f t="shared" si="11"/>
        <v>12</v>
      </c>
      <c r="AN19" s="16" t="s">
        <v>16</v>
      </c>
      <c r="AO19" s="16" t="s">
        <v>16</v>
      </c>
      <c r="AP19" s="16" t="s">
        <v>16</v>
      </c>
      <c r="AQ19" s="21">
        <f t="shared" si="12"/>
        <v>0</v>
      </c>
      <c r="AR19" s="16" t="s">
        <v>16</v>
      </c>
      <c r="AS19" s="16" t="s">
        <v>16</v>
      </c>
      <c r="AT19" s="16" t="s">
        <v>16</v>
      </c>
      <c r="AU19" s="21">
        <f t="shared" si="13"/>
        <v>0</v>
      </c>
      <c r="AV19" s="16" t="s">
        <v>16</v>
      </c>
      <c r="AW19" s="16" t="s">
        <v>16</v>
      </c>
      <c r="AX19" s="16" t="s">
        <v>16</v>
      </c>
      <c r="AY19" s="21">
        <f t="shared" si="14"/>
        <v>0</v>
      </c>
      <c r="AZ19" s="16" t="s">
        <v>16</v>
      </c>
      <c r="BA19" s="16" t="s">
        <v>16</v>
      </c>
      <c r="BB19" s="16" t="s">
        <v>16</v>
      </c>
      <c r="BC19" s="21">
        <f t="shared" si="15"/>
        <v>0</v>
      </c>
      <c r="BD19" s="16" t="s">
        <v>16</v>
      </c>
      <c r="BE19" s="16" t="s">
        <v>16</v>
      </c>
      <c r="BF19" s="16" t="s">
        <v>16</v>
      </c>
      <c r="BG19" s="21">
        <f t="shared" si="16"/>
        <v>0</v>
      </c>
      <c r="BH19" s="16" t="s">
        <v>16</v>
      </c>
      <c r="BI19" s="16" t="s">
        <v>16</v>
      </c>
      <c r="BJ19" s="16" t="s">
        <v>16</v>
      </c>
      <c r="BK19" s="21">
        <f t="shared" si="17"/>
        <v>0</v>
      </c>
      <c r="BL19" s="16" t="s">
        <v>16</v>
      </c>
      <c r="BM19" s="16" t="s">
        <v>16</v>
      </c>
      <c r="BN19" s="16" t="s">
        <v>16</v>
      </c>
      <c r="BO19" s="21">
        <f t="shared" si="18"/>
        <v>0</v>
      </c>
      <c r="BP19" s="16" t="s">
        <v>16</v>
      </c>
      <c r="BQ19" s="16" t="s">
        <v>16</v>
      </c>
      <c r="BR19" s="16" t="s">
        <v>16</v>
      </c>
      <c r="BS19" s="21">
        <f t="shared" si="19"/>
        <v>0</v>
      </c>
      <c r="BT19" s="16" t="s">
        <v>16</v>
      </c>
      <c r="BU19" s="16" t="s">
        <v>16</v>
      </c>
      <c r="BV19" s="16" t="s">
        <v>16</v>
      </c>
      <c r="BW19" s="21">
        <f t="shared" si="20"/>
        <v>0</v>
      </c>
    </row>
    <row r="20" ht="13.5" customHeight="1">
      <c r="A20" s="18">
        <v>46182.0</v>
      </c>
      <c r="B20" s="19">
        <f t="shared" si="1"/>
        <v>8</v>
      </c>
      <c r="C20" s="20">
        <f t="shared" si="2"/>
        <v>50</v>
      </c>
      <c r="D20" s="16" t="s">
        <v>16</v>
      </c>
      <c r="E20" s="16">
        <v>3.0</v>
      </c>
      <c r="F20" s="16" t="s">
        <v>16</v>
      </c>
      <c r="G20" s="21">
        <f t="shared" si="3"/>
        <v>15</v>
      </c>
      <c r="H20" s="16" t="s">
        <v>16</v>
      </c>
      <c r="I20" s="16">
        <v>2.0</v>
      </c>
      <c r="J20" s="16">
        <v>4.0</v>
      </c>
      <c r="K20" s="21">
        <f t="shared" si="4"/>
        <v>22</v>
      </c>
      <c r="L20" s="16" t="s">
        <v>16</v>
      </c>
      <c r="M20" s="16">
        <v>5.0</v>
      </c>
      <c r="N20" s="16">
        <v>1.0</v>
      </c>
      <c r="O20" s="21">
        <f t="shared" si="5"/>
        <v>11</v>
      </c>
      <c r="P20" s="16" t="s">
        <v>16</v>
      </c>
      <c r="Q20" s="16">
        <v>1.0</v>
      </c>
      <c r="R20" s="16">
        <v>3.0</v>
      </c>
      <c r="S20" s="21">
        <f t="shared" si="6"/>
        <v>28</v>
      </c>
      <c r="T20" s="16" t="s">
        <v>16</v>
      </c>
      <c r="U20" s="16">
        <v>4.0</v>
      </c>
      <c r="V20" s="16" t="s">
        <v>16</v>
      </c>
      <c r="W20" s="21">
        <f t="shared" si="7"/>
        <v>12</v>
      </c>
      <c r="X20" s="16" t="s">
        <v>16</v>
      </c>
      <c r="Y20" s="16">
        <v>6.0</v>
      </c>
      <c r="Z20" s="16" t="s">
        <v>16</v>
      </c>
      <c r="AA20" s="21">
        <f t="shared" si="8"/>
        <v>8</v>
      </c>
      <c r="AB20" s="16" t="s">
        <v>16</v>
      </c>
      <c r="AC20" s="16">
        <v>7.0</v>
      </c>
      <c r="AD20" s="16" t="s">
        <v>16</v>
      </c>
      <c r="AE20" s="21">
        <f t="shared" si="9"/>
        <v>6</v>
      </c>
      <c r="AF20" s="16" t="s">
        <v>16</v>
      </c>
      <c r="AG20" s="16" t="s">
        <v>16</v>
      </c>
      <c r="AH20" s="16" t="s">
        <v>16</v>
      </c>
      <c r="AI20" s="21">
        <f t="shared" si="10"/>
        <v>0</v>
      </c>
      <c r="AJ20" s="16" t="s">
        <v>16</v>
      </c>
      <c r="AK20" s="16" t="s">
        <v>16</v>
      </c>
      <c r="AL20" s="16" t="s">
        <v>16</v>
      </c>
      <c r="AM20" s="21">
        <f t="shared" si="11"/>
        <v>0</v>
      </c>
      <c r="AN20" s="16" t="s">
        <v>16</v>
      </c>
      <c r="AO20" s="16" t="s">
        <v>16</v>
      </c>
      <c r="AP20" s="16" t="s">
        <v>16</v>
      </c>
      <c r="AQ20" s="21">
        <f t="shared" si="12"/>
        <v>0</v>
      </c>
      <c r="AR20" s="16" t="s">
        <v>16</v>
      </c>
      <c r="AS20" s="16" t="s">
        <v>16</v>
      </c>
      <c r="AT20" s="16" t="s">
        <v>16</v>
      </c>
      <c r="AU20" s="21">
        <f t="shared" si="13"/>
        <v>0</v>
      </c>
      <c r="AV20" s="16" t="s">
        <v>16</v>
      </c>
      <c r="AW20" s="16">
        <v>8.0</v>
      </c>
      <c r="AX20" s="16" t="s">
        <v>16</v>
      </c>
      <c r="AY20" s="21">
        <f t="shared" si="14"/>
        <v>4</v>
      </c>
      <c r="AZ20" s="16" t="s">
        <v>16</v>
      </c>
      <c r="BA20" s="16" t="s">
        <v>16</v>
      </c>
      <c r="BB20" s="16" t="s">
        <v>16</v>
      </c>
      <c r="BC20" s="21">
        <f t="shared" si="15"/>
        <v>0</v>
      </c>
      <c r="BD20" s="16" t="s">
        <v>16</v>
      </c>
      <c r="BE20" s="16" t="s">
        <v>16</v>
      </c>
      <c r="BF20" s="16" t="s">
        <v>16</v>
      </c>
      <c r="BG20" s="21">
        <f t="shared" si="16"/>
        <v>0</v>
      </c>
      <c r="BH20" s="16" t="s">
        <v>16</v>
      </c>
      <c r="BI20" s="16" t="s">
        <v>16</v>
      </c>
      <c r="BJ20" s="16" t="s">
        <v>16</v>
      </c>
      <c r="BK20" s="21">
        <f t="shared" si="17"/>
        <v>0</v>
      </c>
      <c r="BL20" s="16" t="s">
        <v>16</v>
      </c>
      <c r="BM20" s="16" t="s">
        <v>16</v>
      </c>
      <c r="BN20" s="16" t="s">
        <v>16</v>
      </c>
      <c r="BO20" s="21">
        <f t="shared" si="18"/>
        <v>0</v>
      </c>
      <c r="BP20" s="16" t="s">
        <v>16</v>
      </c>
      <c r="BQ20" s="16" t="s">
        <v>16</v>
      </c>
      <c r="BR20" s="16" t="s">
        <v>16</v>
      </c>
      <c r="BS20" s="21">
        <f t="shared" si="19"/>
        <v>0</v>
      </c>
      <c r="BT20" s="16" t="s">
        <v>16</v>
      </c>
      <c r="BU20" s="16" t="s">
        <v>16</v>
      </c>
      <c r="BV20" s="16" t="s">
        <v>16</v>
      </c>
      <c r="BW20" s="21">
        <f t="shared" si="20"/>
        <v>0</v>
      </c>
    </row>
    <row r="21" ht="13.5" customHeight="1">
      <c r="A21" s="31" t="s">
        <v>26</v>
      </c>
      <c r="B21" s="32" t="s">
        <v>27</v>
      </c>
      <c r="C21" s="33">
        <f>SUM(C3:C20)-39</f>
        <v>881</v>
      </c>
      <c r="D21" s="34"/>
      <c r="E21" s="35">
        <f>IFERROR(MEDIAN(E3:E20),0)</f>
        <v>3</v>
      </c>
      <c r="F21" s="34">
        <f t="shared" ref="F21:G21" si="21">IFERROR(SUM(F3:F20),0)</f>
        <v>29</v>
      </c>
      <c r="G21" s="21">
        <f t="shared" si="21"/>
        <v>279</v>
      </c>
      <c r="H21" s="34"/>
      <c r="I21" s="35">
        <f>IFERROR(MEDIAN(I3:I20),0)</f>
        <v>5.5</v>
      </c>
      <c r="J21" s="34">
        <f t="shared" ref="J21:K21" si="22">IFERROR(SUM(J3:J20),0)</f>
        <v>14</v>
      </c>
      <c r="K21" s="21">
        <f t="shared" si="22"/>
        <v>170</v>
      </c>
      <c r="L21" s="34"/>
      <c r="M21" s="35">
        <f>IFERROR(MEDIAN(M3:M20),0)</f>
        <v>5</v>
      </c>
      <c r="N21" s="34">
        <f t="shared" ref="N21:O21" si="23">IFERROR(SUM(N3:N20),0)</f>
        <v>18</v>
      </c>
      <c r="O21" s="21">
        <f t="shared" si="23"/>
        <v>255</v>
      </c>
      <c r="P21" s="34"/>
      <c r="Q21" s="35">
        <f>IFERROR(MEDIAN(Q3:Q20),0)</f>
        <v>4</v>
      </c>
      <c r="R21" s="34">
        <f t="shared" ref="R21:S21" si="24">IFERROR(SUM(R3:R20),0)</f>
        <v>17</v>
      </c>
      <c r="S21" s="21">
        <f t="shared" si="24"/>
        <v>223</v>
      </c>
      <c r="T21" s="34"/>
      <c r="U21" s="35">
        <f>IFERROR(MEDIAN(U3:U20),0)</f>
        <v>4</v>
      </c>
      <c r="V21" s="34">
        <f t="shared" ref="V21:W21" si="25">IFERROR(SUM(V3:V20),0)</f>
        <v>25</v>
      </c>
      <c r="W21" s="21">
        <f t="shared" si="25"/>
        <v>233</v>
      </c>
      <c r="X21" s="34"/>
      <c r="Y21" s="35">
        <f>IFERROR(MEDIAN(Y3:Y20),0)</f>
        <v>6</v>
      </c>
      <c r="Z21" s="34">
        <f t="shared" ref="Z21:AA21" si="26">IFERROR(SUM(Z3:Z20),0)</f>
        <v>7</v>
      </c>
      <c r="AA21" s="21">
        <f t="shared" si="26"/>
        <v>133</v>
      </c>
      <c r="AB21" s="34"/>
      <c r="AC21" s="35">
        <f>IFERROR(MEDIAN(AC3:AC20),0)</f>
        <v>6.5</v>
      </c>
      <c r="AD21" s="34">
        <f t="shared" ref="AD21:AE21" si="27">IFERROR(SUM(AD3:AD20),0)</f>
        <v>8</v>
      </c>
      <c r="AE21" s="21">
        <f t="shared" si="27"/>
        <v>129</v>
      </c>
      <c r="AF21" s="34"/>
      <c r="AG21" s="35">
        <f>IFERROR(MEDIAN(AG3:AG20),0)</f>
        <v>4</v>
      </c>
      <c r="AH21" s="34">
        <f t="shared" ref="AH21:AI21" si="28">IFERROR(SUM(AH3:AH20),0)</f>
        <v>9</v>
      </c>
      <c r="AI21" s="21">
        <f t="shared" si="28"/>
        <v>165</v>
      </c>
      <c r="AJ21" s="34"/>
      <c r="AK21" s="35">
        <f>IFERROR(MEDIAN(AK3:AK20),0)</f>
        <v>5</v>
      </c>
      <c r="AL21" s="34">
        <f t="shared" ref="AL21:AM21" si="29">IFERROR(SUM(AL3:AL20),0)</f>
        <v>11</v>
      </c>
      <c r="AM21" s="21">
        <f t="shared" si="29"/>
        <v>184</v>
      </c>
      <c r="AN21" s="34"/>
      <c r="AO21" s="35">
        <f>IFERROR(MEDIAN(AO3:AO20),0)</f>
        <v>0</v>
      </c>
      <c r="AP21" s="34">
        <f t="shared" ref="AP21:AQ21" si="30">IFERROR(SUM(AP3:AP20),0)</f>
        <v>0</v>
      </c>
      <c r="AQ21" s="21">
        <f t="shared" si="30"/>
        <v>0</v>
      </c>
      <c r="AR21" s="34"/>
      <c r="AS21" s="35">
        <f>IFERROR(MEDIAN(AS3:AS20),0)</f>
        <v>2</v>
      </c>
      <c r="AT21" s="34">
        <f t="shared" ref="AT21:AU21" si="31">IFERROR(SUM(AT3:AT20),0)</f>
        <v>2</v>
      </c>
      <c r="AU21" s="21">
        <f t="shared" si="31"/>
        <v>20</v>
      </c>
      <c r="AV21" s="34"/>
      <c r="AW21" s="35">
        <f>IFERROR(MEDIAN(AW3:AW20),0)</f>
        <v>7</v>
      </c>
      <c r="AX21" s="34">
        <f t="shared" ref="AX21:AY21" si="32">IFERROR(SUM(AX3:AX20),0)</f>
        <v>1</v>
      </c>
      <c r="AY21" s="21">
        <f t="shared" si="32"/>
        <v>27</v>
      </c>
      <c r="AZ21" s="34"/>
      <c r="BA21" s="35">
        <f>IFERROR(MEDIAN(BA3:BA20),0)</f>
        <v>0</v>
      </c>
      <c r="BB21" s="34">
        <f t="shared" ref="BB21:BC21" si="33">IFERROR(SUM(BB3:BB20),0)</f>
        <v>0</v>
      </c>
      <c r="BC21" s="21">
        <f t="shared" si="33"/>
        <v>0</v>
      </c>
      <c r="BD21" s="34"/>
      <c r="BE21" s="35">
        <f>IFERROR(MEDIAN(BE3:BE20),0)</f>
        <v>0</v>
      </c>
      <c r="BF21" s="34">
        <f t="shared" ref="BF21:BG21" si="34">IFERROR(SUM(BF3:BF20),0)</f>
        <v>0</v>
      </c>
      <c r="BG21" s="21">
        <f t="shared" si="34"/>
        <v>0</v>
      </c>
      <c r="BH21" s="34"/>
      <c r="BI21" s="35">
        <f>IFERROR(MEDIAN(BI3:BI20),0)</f>
        <v>0</v>
      </c>
      <c r="BJ21" s="34">
        <f t="shared" ref="BJ21:BK21" si="35">IFERROR(SUM(BJ3:BJ20),0)</f>
        <v>0</v>
      </c>
      <c r="BK21" s="21">
        <f t="shared" si="35"/>
        <v>0</v>
      </c>
      <c r="BL21" s="34"/>
      <c r="BM21" s="35">
        <f>IFERROR(MEDIAN(BM3:BM20),0)</f>
        <v>0</v>
      </c>
      <c r="BN21" s="34">
        <f t="shared" ref="BN21:BO21" si="36">IFERROR(SUM(BN3:BN20),0)</f>
        <v>0</v>
      </c>
      <c r="BO21" s="21">
        <f t="shared" si="36"/>
        <v>0</v>
      </c>
      <c r="BP21" s="34"/>
      <c r="BQ21" s="35">
        <f>IFERROR(MEDIAN(BQ3:BQ20),0)</f>
        <v>0</v>
      </c>
      <c r="BR21" s="34">
        <f t="shared" ref="BR21:BS21" si="37">IFERROR(SUM(BR3:BR20),0)</f>
        <v>0</v>
      </c>
      <c r="BS21" s="21">
        <f t="shared" si="37"/>
        <v>0</v>
      </c>
      <c r="BT21" s="34"/>
      <c r="BU21" s="35">
        <f>IFERROR(MEDIAN(BU3:BU20),0)</f>
        <v>0</v>
      </c>
      <c r="BV21" s="34">
        <f t="shared" ref="BV21:BW21" si="38">IFERROR(SUM(BV3:BV20),0)</f>
        <v>0</v>
      </c>
      <c r="BW21" s="21">
        <f t="shared" si="38"/>
        <v>0</v>
      </c>
    </row>
    <row r="22" ht="13.5" customHeight="1">
      <c r="A22" s="36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10"/>
    </row>
    <row r="23" ht="13.5" customHeight="1">
      <c r="A23" s="36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10"/>
    </row>
    <row r="24" ht="13.5" customHeight="1">
      <c r="A24" s="36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10"/>
    </row>
    <row r="25" ht="13.5" customHeight="1">
      <c r="A25" s="37" t="s">
        <v>29</v>
      </c>
      <c r="B25" s="8"/>
      <c r="C25" s="8"/>
      <c r="D25" s="8"/>
      <c r="E25" s="8"/>
      <c r="F25" s="10"/>
      <c r="G25" s="38"/>
      <c r="H25" s="39" t="s">
        <v>30</v>
      </c>
      <c r="I25" s="8"/>
      <c r="J25" s="8"/>
      <c r="K25" s="8"/>
      <c r="L25" s="8"/>
      <c r="M25" s="8"/>
      <c r="N25" s="8"/>
      <c r="O25" s="8"/>
      <c r="P25" s="8"/>
      <c r="Q25" s="8"/>
      <c r="R25" s="10"/>
      <c r="S25" s="40"/>
      <c r="T25" s="39" t="s">
        <v>31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10"/>
      <c r="AF25" s="41"/>
      <c r="AG25" s="42" t="s">
        <v>32</v>
      </c>
      <c r="AH25" s="8"/>
      <c r="AI25" s="8"/>
      <c r="AJ25" s="8"/>
      <c r="AK25" s="8"/>
      <c r="AL25" s="8"/>
      <c r="AM25" s="10"/>
      <c r="AN25" s="38"/>
      <c r="AO25" s="43" t="s">
        <v>33</v>
      </c>
      <c r="AP25" s="8"/>
      <c r="AQ25" s="8"/>
      <c r="AR25" s="10"/>
      <c r="AS25" s="43">
        <f>AO27*AR27+AO28*AR28+AO29*AR29+AO30*AR30+AO31*AR31+BA33*BD33</f>
        <v>10000</v>
      </c>
      <c r="AT25" s="10"/>
      <c r="AU25" s="38"/>
      <c r="AV25" s="38"/>
      <c r="AW25" s="38"/>
      <c r="AX25" s="38"/>
      <c r="AY25" s="38"/>
      <c r="AZ25" s="38"/>
      <c r="BA25" s="38"/>
      <c r="BB25" s="38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</row>
    <row r="26" ht="13.5" customHeight="1">
      <c r="A26" s="44" t="s">
        <v>0</v>
      </c>
      <c r="B26" s="37" t="s">
        <v>34</v>
      </c>
      <c r="C26" s="10"/>
      <c r="D26" s="44"/>
      <c r="E26" s="37" t="s">
        <v>35</v>
      </c>
      <c r="F26" s="45"/>
      <c r="G26" s="46"/>
      <c r="H26" s="39" t="s">
        <v>0</v>
      </c>
      <c r="I26" s="10"/>
      <c r="J26" s="39" t="s">
        <v>2</v>
      </c>
      <c r="K26" s="8"/>
      <c r="L26" s="10"/>
      <c r="M26" s="47" t="s">
        <v>1</v>
      </c>
      <c r="N26" s="8"/>
      <c r="O26" s="8"/>
      <c r="P26" s="8"/>
      <c r="Q26" s="8"/>
      <c r="R26" s="10"/>
      <c r="T26" s="39" t="s">
        <v>0</v>
      </c>
      <c r="U26" s="10"/>
      <c r="V26" s="39" t="s">
        <v>3</v>
      </c>
      <c r="W26" s="8"/>
      <c r="X26" s="10"/>
      <c r="Y26" s="47" t="s">
        <v>1</v>
      </c>
      <c r="Z26" s="8"/>
      <c r="AA26" s="8"/>
      <c r="AB26" s="8"/>
      <c r="AC26" s="8"/>
      <c r="AD26" s="8"/>
      <c r="AE26" s="10"/>
      <c r="AG26" s="48">
        <v>1.0</v>
      </c>
      <c r="AH26" s="49">
        <v>0.8333333333333334</v>
      </c>
      <c r="AI26" s="10"/>
      <c r="AJ26" s="50">
        <v>100.0</v>
      </c>
      <c r="AK26" s="10"/>
      <c r="AL26" s="50">
        <f t="shared" ref="AL26:AL38" si="39">AJ26/2</f>
        <v>50</v>
      </c>
      <c r="AM26" s="10"/>
      <c r="AO26" s="39" t="s">
        <v>36</v>
      </c>
      <c r="AP26" s="8"/>
      <c r="AQ26" s="10"/>
      <c r="AR26" s="39" t="s">
        <v>37</v>
      </c>
      <c r="AS26" s="8"/>
      <c r="AT26" s="10"/>
      <c r="AZ26" s="5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</row>
    <row r="27" ht="13.5" customHeight="1">
      <c r="A27" s="52">
        <v>1.0</v>
      </c>
      <c r="B27" s="53">
        <v>25.0</v>
      </c>
      <c r="C27" s="10"/>
      <c r="D27" s="54">
        <v>20.0</v>
      </c>
      <c r="E27" s="8"/>
      <c r="F27" s="10"/>
      <c r="G27" s="46"/>
      <c r="H27" s="55">
        <v>1.0</v>
      </c>
      <c r="I27" s="10"/>
      <c r="J27" s="55">
        <f>VLOOKUP(H27,AUX!$A$2:$C$19,3,false)</f>
        <v>279</v>
      </c>
      <c r="K27" s="8"/>
      <c r="L27" s="10"/>
      <c r="M27" s="55" t="str">
        <f>VLOOKUP(H27,AUX!$A$2:$C$19,2,FALSE)</f>
        <v>SERGIO</v>
      </c>
      <c r="N27" s="8"/>
      <c r="O27" s="8"/>
      <c r="P27" s="8"/>
      <c r="Q27" s="8"/>
      <c r="R27" s="10"/>
      <c r="T27" s="56">
        <v>1.0</v>
      </c>
      <c r="U27" s="10"/>
      <c r="V27" s="56">
        <f>VLOOKUP(T27,AUX!$E$2:$G$19,3,false)</f>
        <v>29</v>
      </c>
      <c r="W27" s="8"/>
      <c r="X27" s="10"/>
      <c r="Y27" s="56" t="str">
        <f>VLOOKUP(T27,AUX!$E$2:$G$19,2,FALSE)</f>
        <v>SERGIO</v>
      </c>
      <c r="Z27" s="8"/>
      <c r="AA27" s="8"/>
      <c r="AB27" s="8"/>
      <c r="AC27" s="8"/>
      <c r="AD27" s="8"/>
      <c r="AE27" s="10"/>
      <c r="AG27" s="57">
        <v>2.0</v>
      </c>
      <c r="AH27" s="58">
        <v>0.8472222222222222</v>
      </c>
      <c r="AI27" s="10"/>
      <c r="AJ27" s="59">
        <v>200.0</v>
      </c>
      <c r="AK27" s="10"/>
      <c r="AL27" s="59">
        <f t="shared" si="39"/>
        <v>100</v>
      </c>
      <c r="AM27" s="10"/>
      <c r="AO27" s="60">
        <v>50.0</v>
      </c>
      <c r="AP27" s="8"/>
      <c r="AQ27" s="10"/>
      <c r="AR27" s="60">
        <v>10.0</v>
      </c>
      <c r="AS27" s="8"/>
      <c r="AT27" s="10"/>
      <c r="AZ27" s="5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</row>
    <row r="28" ht="13.5" customHeight="1">
      <c r="A28" s="52">
        <v>2.0</v>
      </c>
      <c r="B28" s="53">
        <v>18.0</v>
      </c>
      <c r="C28" s="10"/>
      <c r="D28" s="54">
        <v>10.0</v>
      </c>
      <c r="E28" s="8"/>
      <c r="F28" s="10"/>
      <c r="G28" s="46"/>
      <c r="H28" s="55">
        <v>2.0</v>
      </c>
      <c r="I28" s="10"/>
      <c r="J28" s="55">
        <f>VLOOKUP(H28,AUX!$A$2:$C$19,3,false)</f>
        <v>255</v>
      </c>
      <c r="K28" s="8"/>
      <c r="L28" s="10"/>
      <c r="M28" s="55" t="str">
        <f>VLOOKUP(H28,AUX!$A$2:$C$19,2,FALSE)</f>
        <v>DANILO</v>
      </c>
      <c r="N28" s="8"/>
      <c r="O28" s="8"/>
      <c r="P28" s="8"/>
      <c r="Q28" s="8"/>
      <c r="R28" s="10"/>
      <c r="T28" s="56">
        <v>2.0</v>
      </c>
      <c r="U28" s="10"/>
      <c r="V28" s="56">
        <f>VLOOKUP(T28,AUX!$E$2:$G$19,3,false)</f>
        <v>25</v>
      </c>
      <c r="W28" s="8"/>
      <c r="X28" s="10"/>
      <c r="Y28" s="56" t="str">
        <f>VLOOKUP(T28,AUX!$E$2:$G$19,2,FALSE)</f>
        <v>NINO</v>
      </c>
      <c r="Z28" s="8"/>
      <c r="AA28" s="8"/>
      <c r="AB28" s="8"/>
      <c r="AC28" s="8"/>
      <c r="AD28" s="8"/>
      <c r="AE28" s="10"/>
      <c r="AG28" s="48">
        <v>3.0</v>
      </c>
      <c r="AH28" s="49">
        <v>0.8611111111111112</v>
      </c>
      <c r="AI28" s="10"/>
      <c r="AJ28" s="50">
        <v>300.0</v>
      </c>
      <c r="AK28" s="10"/>
      <c r="AL28" s="50">
        <f t="shared" si="39"/>
        <v>150</v>
      </c>
      <c r="AM28" s="10"/>
      <c r="AO28" s="50">
        <v>100.0</v>
      </c>
      <c r="AP28" s="8"/>
      <c r="AQ28" s="10"/>
      <c r="AR28" s="50">
        <v>10.0</v>
      </c>
      <c r="AS28" s="8"/>
      <c r="AT28" s="10"/>
      <c r="AZ28" s="5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</row>
    <row r="29" ht="13.5" customHeight="1">
      <c r="A29" s="52">
        <v>3.0</v>
      </c>
      <c r="B29" s="53">
        <v>15.0</v>
      </c>
      <c r="C29" s="10"/>
      <c r="D29" s="54">
        <v>0.0</v>
      </c>
      <c r="E29" s="8"/>
      <c r="F29" s="10"/>
      <c r="G29" s="46"/>
      <c r="H29" s="55">
        <v>3.0</v>
      </c>
      <c r="I29" s="10"/>
      <c r="J29" s="55">
        <f>VLOOKUP(H29,AUX!$A$2:$C$19,3,false)</f>
        <v>233</v>
      </c>
      <c r="K29" s="8"/>
      <c r="L29" s="10"/>
      <c r="M29" s="55" t="str">
        <f>VLOOKUP(H29,AUX!$A$2:$C$19,2,FALSE)</f>
        <v>NINO</v>
      </c>
      <c r="N29" s="8"/>
      <c r="O29" s="8"/>
      <c r="P29" s="8"/>
      <c r="Q29" s="8"/>
      <c r="R29" s="10"/>
      <c r="T29" s="56">
        <v>3.0</v>
      </c>
      <c r="U29" s="10"/>
      <c r="V29" s="56">
        <f>VLOOKUP(T29,AUX!$E$2:$G$19,3,false)</f>
        <v>18</v>
      </c>
      <c r="W29" s="8"/>
      <c r="X29" s="10"/>
      <c r="Y29" s="56" t="str">
        <f>VLOOKUP(T29,AUX!$E$2:$G$19,2,FALSE)</f>
        <v>DANILO</v>
      </c>
      <c r="Z29" s="8"/>
      <c r="AA29" s="8"/>
      <c r="AB29" s="8"/>
      <c r="AC29" s="8"/>
      <c r="AD29" s="8"/>
      <c r="AE29" s="10"/>
      <c r="AG29" s="57">
        <v>4.0</v>
      </c>
      <c r="AH29" s="58">
        <v>0.875</v>
      </c>
      <c r="AI29" s="10"/>
      <c r="AJ29" s="59">
        <v>400.0</v>
      </c>
      <c r="AK29" s="10"/>
      <c r="AL29" s="59">
        <f t="shared" si="39"/>
        <v>200</v>
      </c>
      <c r="AM29" s="10"/>
      <c r="AO29" s="60">
        <v>500.0</v>
      </c>
      <c r="AP29" s="8"/>
      <c r="AQ29" s="10"/>
      <c r="AR29" s="60">
        <v>3.0</v>
      </c>
      <c r="AS29" s="8"/>
      <c r="AT29" s="10"/>
      <c r="AZ29" s="51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</row>
    <row r="30" ht="13.5" customHeight="1">
      <c r="A30" s="52">
        <v>4.0</v>
      </c>
      <c r="B30" s="53">
        <v>12.0</v>
      </c>
      <c r="C30" s="10"/>
      <c r="D30" s="54">
        <v>0.0</v>
      </c>
      <c r="E30" s="8"/>
      <c r="F30" s="10"/>
      <c r="G30" s="46"/>
      <c r="H30" s="61">
        <v>4.0</v>
      </c>
      <c r="I30" s="10"/>
      <c r="J30" s="61">
        <f>VLOOKUP(H30,AUX!$A$2:$C$19,3,false)</f>
        <v>223</v>
      </c>
      <c r="K30" s="8"/>
      <c r="L30" s="10"/>
      <c r="M30" s="61" t="str">
        <f>VLOOKUP(H30,AUX!$A$2:$C$19,2,FALSE)</f>
        <v>EDINHO</v>
      </c>
      <c r="N30" s="8"/>
      <c r="O30" s="8"/>
      <c r="P30" s="8"/>
      <c r="Q30" s="8"/>
      <c r="R30" s="10"/>
      <c r="T30" s="50">
        <v>4.0</v>
      </c>
      <c r="U30" s="10"/>
      <c r="V30" s="50">
        <f>VLOOKUP(T30,AUX!$E$2:$G$19,3,false)</f>
        <v>17</v>
      </c>
      <c r="W30" s="8"/>
      <c r="X30" s="10"/>
      <c r="Y30" s="50" t="str">
        <f>VLOOKUP(T30,AUX!$E$2:$G$19,2,FALSE)</f>
        <v>EDINHO</v>
      </c>
      <c r="Z30" s="8"/>
      <c r="AA30" s="8"/>
      <c r="AB30" s="8"/>
      <c r="AC30" s="8"/>
      <c r="AD30" s="8"/>
      <c r="AE30" s="10"/>
      <c r="AG30" s="48">
        <v>5.0</v>
      </c>
      <c r="AH30" s="49">
        <v>0.8888888888888888</v>
      </c>
      <c r="AI30" s="10"/>
      <c r="AJ30" s="50">
        <v>600.0</v>
      </c>
      <c r="AK30" s="10"/>
      <c r="AL30" s="50">
        <f t="shared" si="39"/>
        <v>300</v>
      </c>
      <c r="AM30" s="10"/>
      <c r="AO30" s="50">
        <v>1000.0</v>
      </c>
      <c r="AP30" s="8"/>
      <c r="AQ30" s="10"/>
      <c r="AR30" s="50">
        <v>2.0</v>
      </c>
      <c r="AS30" s="8"/>
      <c r="AT30" s="10"/>
      <c r="AZ30" s="51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</row>
    <row r="31" ht="13.5" customHeight="1">
      <c r="A31" s="52">
        <v>5.0</v>
      </c>
      <c r="B31" s="53">
        <v>10.0</v>
      </c>
      <c r="C31" s="10"/>
      <c r="D31" s="54">
        <v>0.0</v>
      </c>
      <c r="E31" s="8"/>
      <c r="F31" s="10"/>
      <c r="G31" s="46"/>
      <c r="H31" s="61">
        <v>5.0</v>
      </c>
      <c r="I31" s="10"/>
      <c r="J31" s="61">
        <f>VLOOKUP(H31,AUX!$A$2:$C$19,3,false)</f>
        <v>184</v>
      </c>
      <c r="K31" s="8"/>
      <c r="L31" s="10"/>
      <c r="M31" s="61" t="str">
        <f>VLOOKUP(H31,AUX!$A$2:$C$19,2,FALSE)</f>
        <v>UEDA</v>
      </c>
      <c r="N31" s="8"/>
      <c r="O31" s="8"/>
      <c r="P31" s="8"/>
      <c r="Q31" s="8"/>
      <c r="R31" s="10"/>
      <c r="T31" s="50">
        <v>5.0</v>
      </c>
      <c r="U31" s="10"/>
      <c r="V31" s="50">
        <f>VLOOKUP(T31,AUX!$E$2:$G$19,3,false)</f>
        <v>14</v>
      </c>
      <c r="W31" s="8"/>
      <c r="X31" s="10"/>
      <c r="Y31" s="50" t="str">
        <f>VLOOKUP(T31,AUX!$E$2:$G$19,2,FALSE)</f>
        <v>FELIPE</v>
      </c>
      <c r="Z31" s="8"/>
      <c r="AA31" s="8"/>
      <c r="AB31" s="8"/>
      <c r="AC31" s="8"/>
      <c r="AD31" s="8"/>
      <c r="AE31" s="10"/>
      <c r="AG31" s="57">
        <v>6.0</v>
      </c>
      <c r="AH31" s="58">
        <v>0.9027777777777778</v>
      </c>
      <c r="AI31" s="10"/>
      <c r="AJ31" s="59">
        <v>1000.0</v>
      </c>
      <c r="AK31" s="10"/>
      <c r="AL31" s="59">
        <f t="shared" si="39"/>
        <v>500</v>
      </c>
      <c r="AM31" s="10"/>
      <c r="AO31" s="60">
        <v>5000.0</v>
      </c>
      <c r="AP31" s="8"/>
      <c r="AQ31" s="10"/>
      <c r="AR31" s="60">
        <v>1.0</v>
      </c>
      <c r="AS31" s="8"/>
      <c r="AT31" s="10"/>
      <c r="AZ31" s="51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</row>
    <row r="32" ht="13.5" customHeight="1">
      <c r="A32" s="52">
        <v>6.0</v>
      </c>
      <c r="B32" s="53">
        <v>8.0</v>
      </c>
      <c r="C32" s="10"/>
      <c r="D32" s="54">
        <v>0.0</v>
      </c>
      <c r="E32" s="8"/>
      <c r="F32" s="10"/>
      <c r="G32" s="46"/>
      <c r="H32" s="61">
        <v>6.0</v>
      </c>
      <c r="I32" s="10"/>
      <c r="J32" s="61">
        <f>VLOOKUP(H32,AUX!$A$2:$C$19,3,false)</f>
        <v>170</v>
      </c>
      <c r="K32" s="8"/>
      <c r="L32" s="10"/>
      <c r="M32" s="61" t="str">
        <f>VLOOKUP(H32,AUX!$A$2:$C$19,2,FALSE)</f>
        <v>FELIPE</v>
      </c>
      <c r="N32" s="8"/>
      <c r="O32" s="8"/>
      <c r="P32" s="8"/>
      <c r="Q32" s="8"/>
      <c r="R32" s="10"/>
      <c r="T32" s="50">
        <v>6.0</v>
      </c>
      <c r="U32" s="10"/>
      <c r="V32" s="50">
        <f>VLOOKUP(T32,AUX!$E$2:$G$19,3,false)</f>
        <v>11</v>
      </c>
      <c r="W32" s="8"/>
      <c r="X32" s="10"/>
      <c r="Y32" s="50" t="str">
        <f>VLOOKUP(T32,AUX!$E$2:$G$19,2,FALSE)</f>
        <v>UEDA</v>
      </c>
      <c r="Z32" s="8"/>
      <c r="AA32" s="8"/>
      <c r="AB32" s="8"/>
      <c r="AC32" s="8"/>
      <c r="AD32" s="8"/>
      <c r="AE32" s="10"/>
      <c r="AG32" s="48">
        <v>7.0</v>
      </c>
      <c r="AH32" s="49">
        <v>0.9166666666666666</v>
      </c>
      <c r="AI32" s="10"/>
      <c r="AJ32" s="50">
        <v>1500.0</v>
      </c>
      <c r="AK32" s="10"/>
      <c r="AL32" s="50">
        <f t="shared" si="39"/>
        <v>750</v>
      </c>
      <c r="AM32" s="10"/>
      <c r="AP32" s="62"/>
      <c r="AQ32" s="62"/>
      <c r="AR32" s="62"/>
      <c r="AZ32" s="51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</row>
    <row r="33" ht="13.5" customHeight="1">
      <c r="A33" s="52">
        <v>7.0</v>
      </c>
      <c r="B33" s="53">
        <v>6.0</v>
      </c>
      <c r="C33" s="10"/>
      <c r="D33" s="54">
        <v>0.0</v>
      </c>
      <c r="E33" s="8"/>
      <c r="F33" s="10"/>
      <c r="G33" s="46"/>
      <c r="H33" s="61">
        <v>7.0</v>
      </c>
      <c r="I33" s="10"/>
      <c r="J33" s="61">
        <f>VLOOKUP(H33,AUX!$A$2:$C$19,3,false)</f>
        <v>165</v>
      </c>
      <c r="K33" s="8"/>
      <c r="L33" s="10"/>
      <c r="M33" s="61" t="str">
        <f>VLOOKUP(H33,AUX!$A$2:$C$19,2,FALSE)</f>
        <v>ENIO</v>
      </c>
      <c r="N33" s="8"/>
      <c r="O33" s="8"/>
      <c r="P33" s="8"/>
      <c r="Q33" s="8"/>
      <c r="R33" s="10"/>
      <c r="T33" s="50">
        <v>7.0</v>
      </c>
      <c r="U33" s="10"/>
      <c r="V33" s="50">
        <f>VLOOKUP(T33,AUX!$E$2:$G$19,3,false)</f>
        <v>9</v>
      </c>
      <c r="W33" s="8"/>
      <c r="X33" s="10"/>
      <c r="Y33" s="50" t="str">
        <f>VLOOKUP(T33,AUX!$E$2:$G$19,2,FALSE)</f>
        <v>ENIO</v>
      </c>
      <c r="Z33" s="8"/>
      <c r="AA33" s="8"/>
      <c r="AB33" s="8"/>
      <c r="AC33" s="8"/>
      <c r="AD33" s="8"/>
      <c r="AE33" s="10"/>
      <c r="AG33" s="57">
        <v>8.0</v>
      </c>
      <c r="AH33" s="58">
        <v>0.9305555555555556</v>
      </c>
      <c r="AI33" s="10"/>
      <c r="AJ33" s="59">
        <v>2000.0</v>
      </c>
      <c r="AK33" s="10"/>
      <c r="AL33" s="59">
        <f t="shared" si="39"/>
        <v>1000</v>
      </c>
      <c r="AM33" s="10"/>
      <c r="AP33" s="62"/>
      <c r="AQ33" s="62"/>
      <c r="AR33" s="62"/>
      <c r="AZ33" s="51"/>
      <c r="BA33" s="51"/>
      <c r="BB33" s="51"/>
      <c r="BC33" s="51"/>
      <c r="BD33" s="51"/>
      <c r="BE33" s="51"/>
      <c r="BF33" s="51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</row>
    <row r="34" ht="13.5" customHeight="1">
      <c r="A34" s="52">
        <v>8.0</v>
      </c>
      <c r="B34" s="53">
        <v>4.0</v>
      </c>
      <c r="C34" s="10"/>
      <c r="D34" s="54">
        <v>0.0</v>
      </c>
      <c r="E34" s="8"/>
      <c r="F34" s="10"/>
      <c r="G34" s="46"/>
      <c r="H34" s="61">
        <v>8.0</v>
      </c>
      <c r="I34" s="10"/>
      <c r="J34" s="61">
        <f>VLOOKUP(H34,AUX!$A$2:$C$19,3,false)</f>
        <v>133</v>
      </c>
      <c r="K34" s="8"/>
      <c r="L34" s="10"/>
      <c r="M34" s="61" t="str">
        <f>VLOOKUP(H34,AUX!$A$2:$C$19,2,FALSE)</f>
        <v>CARLÃO</v>
      </c>
      <c r="N34" s="8"/>
      <c r="O34" s="8"/>
      <c r="P34" s="8"/>
      <c r="Q34" s="8"/>
      <c r="R34" s="10"/>
      <c r="T34" s="50">
        <v>8.0</v>
      </c>
      <c r="U34" s="10"/>
      <c r="V34" s="50">
        <f>VLOOKUP(T34,AUX!$E$2:$G$19,3,false)</f>
        <v>8</v>
      </c>
      <c r="W34" s="8"/>
      <c r="X34" s="10"/>
      <c r="Y34" s="50" t="str">
        <f>VLOOKUP(T34,AUX!$E$2:$G$19,2,FALSE)</f>
        <v>GRANDE</v>
      </c>
      <c r="Z34" s="8"/>
      <c r="AA34" s="8"/>
      <c r="AB34" s="8"/>
      <c r="AC34" s="8"/>
      <c r="AD34" s="8"/>
      <c r="AE34" s="10"/>
      <c r="AG34" s="48">
        <v>9.0</v>
      </c>
      <c r="AH34" s="49">
        <v>0.9444444444444444</v>
      </c>
      <c r="AI34" s="10"/>
      <c r="AJ34" s="50">
        <v>3000.0</v>
      </c>
      <c r="AK34" s="10"/>
      <c r="AL34" s="50">
        <f t="shared" si="39"/>
        <v>1500</v>
      </c>
      <c r="AM34" s="10"/>
      <c r="AP34" s="62"/>
      <c r="AQ34" s="62"/>
      <c r="AR34" s="62"/>
      <c r="AZ34" s="51"/>
      <c r="BA34" s="51"/>
      <c r="BB34" s="51"/>
      <c r="BC34" s="51"/>
      <c r="BD34" s="51"/>
      <c r="BE34" s="51"/>
      <c r="BF34" s="63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</row>
    <row r="35" ht="13.5" customHeight="1">
      <c r="A35" s="52">
        <v>9.0</v>
      </c>
      <c r="B35" s="53">
        <v>2.0</v>
      </c>
      <c r="C35" s="10"/>
      <c r="D35" s="54">
        <v>0.0</v>
      </c>
      <c r="E35" s="8"/>
      <c r="F35" s="10"/>
      <c r="G35" s="46"/>
      <c r="H35" s="61">
        <v>9.0</v>
      </c>
      <c r="I35" s="10"/>
      <c r="J35" s="61">
        <f>VLOOKUP(H35,AUX!$A$2:$C$19,3,false)</f>
        <v>129</v>
      </c>
      <c r="K35" s="8"/>
      <c r="L35" s="10"/>
      <c r="M35" s="61" t="str">
        <f>VLOOKUP(H35,AUX!$A$2:$C$19,2,FALSE)</f>
        <v>GRANDE</v>
      </c>
      <c r="N35" s="8"/>
      <c r="O35" s="8"/>
      <c r="P35" s="8"/>
      <c r="Q35" s="8"/>
      <c r="R35" s="10"/>
      <c r="T35" s="50">
        <v>9.0</v>
      </c>
      <c r="U35" s="10"/>
      <c r="V35" s="50">
        <f>VLOOKUP(T35,AUX!$E$2:$G$19,3,false)</f>
        <v>7</v>
      </c>
      <c r="W35" s="8"/>
      <c r="X35" s="10"/>
      <c r="Y35" s="50" t="str">
        <f>VLOOKUP(T35,AUX!$E$2:$G$19,2,FALSE)</f>
        <v>CARLÃO</v>
      </c>
      <c r="Z35" s="8"/>
      <c r="AA35" s="8"/>
      <c r="AB35" s="8"/>
      <c r="AC35" s="8"/>
      <c r="AD35" s="8"/>
      <c r="AE35" s="10"/>
      <c r="AG35" s="57">
        <v>10.0</v>
      </c>
      <c r="AH35" s="58">
        <v>0.9583333333333334</v>
      </c>
      <c r="AI35" s="10"/>
      <c r="AJ35" s="59">
        <v>4000.0</v>
      </c>
      <c r="AK35" s="10"/>
      <c r="AL35" s="59">
        <f t="shared" si="39"/>
        <v>2000</v>
      </c>
      <c r="AM35" s="10"/>
      <c r="AP35" s="62"/>
      <c r="AQ35" s="62"/>
      <c r="AR35" s="62"/>
      <c r="AZ35" s="51"/>
      <c r="BA35" s="51"/>
      <c r="BB35" s="51"/>
      <c r="BC35" s="51"/>
      <c r="BD35" s="51"/>
      <c r="BE35" s="51"/>
      <c r="BF35" s="63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</row>
    <row r="36" ht="13.5" customHeight="1">
      <c r="A36" s="52">
        <v>10.0</v>
      </c>
      <c r="B36" s="53">
        <v>1.0</v>
      </c>
      <c r="C36" s="10"/>
      <c r="D36" s="54">
        <v>0.0</v>
      </c>
      <c r="E36" s="8"/>
      <c r="F36" s="10"/>
      <c r="G36" s="46"/>
      <c r="H36" s="61">
        <v>10.0</v>
      </c>
      <c r="I36" s="10"/>
      <c r="J36" s="61">
        <f>VLOOKUP(H36,AUX!$A$2:$C$19,3,false)</f>
        <v>27</v>
      </c>
      <c r="K36" s="8"/>
      <c r="L36" s="10"/>
      <c r="M36" s="61" t="str">
        <f>VLOOKUP(H36,AUX!$A$2:$C$19,2,FALSE)</f>
        <v>ALEXANDRE</v>
      </c>
      <c r="N36" s="8"/>
      <c r="O36" s="8"/>
      <c r="P36" s="8"/>
      <c r="Q36" s="8"/>
      <c r="R36" s="10"/>
      <c r="T36" s="50">
        <v>10.0</v>
      </c>
      <c r="U36" s="10"/>
      <c r="V36" s="50">
        <f>VLOOKUP(T36,AUX!$E$2:$G$19,3,false)</f>
        <v>2</v>
      </c>
      <c r="W36" s="8"/>
      <c r="X36" s="10"/>
      <c r="Y36" s="50" t="str">
        <f>VLOOKUP(T36,AUX!$E$2:$G$19,2,FALSE)</f>
        <v>TURATI</v>
      </c>
      <c r="Z36" s="8"/>
      <c r="AA36" s="8"/>
      <c r="AB36" s="8"/>
      <c r="AC36" s="8"/>
      <c r="AD36" s="8"/>
      <c r="AE36" s="10"/>
      <c r="AG36" s="48">
        <v>11.0</v>
      </c>
      <c r="AH36" s="49">
        <v>0.9722222222222222</v>
      </c>
      <c r="AI36" s="10"/>
      <c r="AJ36" s="50">
        <v>5000.0</v>
      </c>
      <c r="AK36" s="10"/>
      <c r="AL36" s="50">
        <f t="shared" si="39"/>
        <v>2500</v>
      </c>
      <c r="AM36" s="10"/>
      <c r="AP36" s="62"/>
      <c r="AQ36" s="62"/>
      <c r="AR36" s="62"/>
      <c r="AZ36" s="51"/>
      <c r="BA36" s="51"/>
      <c r="BB36" s="51"/>
      <c r="BC36" s="51"/>
      <c r="BD36" s="51"/>
      <c r="BE36" s="51"/>
      <c r="BF36" s="63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</row>
    <row r="37" ht="13.5" customHeight="1">
      <c r="A37" s="52">
        <v>11.0</v>
      </c>
      <c r="B37" s="53">
        <v>1.0</v>
      </c>
      <c r="C37" s="10"/>
      <c r="D37" s="54">
        <v>0.0</v>
      </c>
      <c r="E37" s="8"/>
      <c r="F37" s="10"/>
      <c r="G37" s="46"/>
      <c r="H37" s="61">
        <v>11.0</v>
      </c>
      <c r="I37" s="10"/>
      <c r="J37" s="61">
        <f>VLOOKUP(H37,AUX!$A$2:$C$19,3,false)</f>
        <v>20</v>
      </c>
      <c r="K37" s="8"/>
      <c r="L37" s="10"/>
      <c r="M37" s="61" t="str">
        <f>VLOOKUP(H37,AUX!$A$2:$C$19,2,FALSE)</f>
        <v>TURATI</v>
      </c>
      <c r="N37" s="8"/>
      <c r="O37" s="8"/>
      <c r="P37" s="8"/>
      <c r="Q37" s="8"/>
      <c r="R37" s="10"/>
      <c r="T37" s="50">
        <v>11.0</v>
      </c>
      <c r="U37" s="10"/>
      <c r="V37" s="50">
        <f>VLOOKUP(T37,AUX!$E$2:$G$19,3,false)</f>
        <v>1</v>
      </c>
      <c r="W37" s="8"/>
      <c r="X37" s="10"/>
      <c r="Y37" s="50" t="str">
        <f>VLOOKUP(T37,AUX!$E$2:$G$19,2,FALSE)</f>
        <v>ALEXANDRE</v>
      </c>
      <c r="Z37" s="8"/>
      <c r="AA37" s="8"/>
      <c r="AB37" s="8"/>
      <c r="AC37" s="8"/>
      <c r="AD37" s="8"/>
      <c r="AE37" s="10"/>
      <c r="AG37" s="57">
        <v>12.0</v>
      </c>
      <c r="AH37" s="58">
        <v>0.9861111111111112</v>
      </c>
      <c r="AI37" s="10"/>
      <c r="AJ37" s="59">
        <v>6000.0</v>
      </c>
      <c r="AK37" s="10"/>
      <c r="AL37" s="59">
        <f t="shared" si="39"/>
        <v>3000</v>
      </c>
      <c r="AM37" s="10"/>
      <c r="AP37" s="62"/>
      <c r="AQ37" s="62"/>
      <c r="AR37" s="62"/>
      <c r="AZ37" s="51"/>
      <c r="BA37" s="51"/>
      <c r="BB37" s="51"/>
      <c r="BC37" s="51"/>
      <c r="BD37" s="51"/>
      <c r="BE37" s="51"/>
      <c r="BF37" s="63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</row>
    <row r="38" ht="13.5" customHeight="1">
      <c r="A38" s="52">
        <v>12.0</v>
      </c>
      <c r="B38" s="53">
        <v>1.0</v>
      </c>
      <c r="C38" s="10"/>
      <c r="D38" s="54">
        <v>0.0</v>
      </c>
      <c r="E38" s="8"/>
      <c r="F38" s="10"/>
      <c r="G38" s="46"/>
      <c r="H38" s="61">
        <v>12.0</v>
      </c>
      <c r="I38" s="10"/>
      <c r="J38" s="61">
        <f>VLOOKUP(H38,AUX!$A$2:$C$19,3,false)</f>
        <v>0</v>
      </c>
      <c r="K38" s="8"/>
      <c r="L38" s="10"/>
      <c r="M38" s="61" t="str">
        <f>VLOOKUP(H38,AUX!$A$2:$C$19,2,FALSE)</f>
        <v>MICA</v>
      </c>
      <c r="N38" s="8"/>
      <c r="O38" s="8"/>
      <c r="P38" s="8"/>
      <c r="Q38" s="8"/>
      <c r="R38" s="10"/>
      <c r="T38" s="50">
        <v>12.0</v>
      </c>
      <c r="U38" s="10"/>
      <c r="V38" s="50">
        <f>VLOOKUP(H38,AUX!$E$2:$G$19,3,false)</f>
        <v>0</v>
      </c>
      <c r="W38" s="8"/>
      <c r="X38" s="10"/>
      <c r="Y38" s="50" t="str">
        <f>VLOOKUP(T38,AUX!$A$2:$C$19,2,FALSE)</f>
        <v>MICA</v>
      </c>
      <c r="Z38" s="8"/>
      <c r="AA38" s="8"/>
      <c r="AB38" s="8"/>
      <c r="AC38" s="8"/>
      <c r="AD38" s="8"/>
      <c r="AE38" s="10"/>
      <c r="AG38" s="64">
        <v>13.0</v>
      </c>
      <c r="AH38" s="65">
        <v>1.0</v>
      </c>
      <c r="AI38" s="10"/>
      <c r="AJ38" s="61">
        <v>10000.0</v>
      </c>
      <c r="AK38" s="10"/>
      <c r="AL38" s="61">
        <f t="shared" si="39"/>
        <v>5000</v>
      </c>
      <c r="AM38" s="10"/>
      <c r="AP38" s="62"/>
      <c r="AQ38" s="62"/>
      <c r="AR38" s="62"/>
      <c r="AZ38" s="51"/>
      <c r="BA38" s="51"/>
      <c r="BB38" s="51"/>
      <c r="BC38" s="51"/>
      <c r="BD38" s="51"/>
      <c r="BE38" s="51"/>
      <c r="BF38" s="63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</row>
    <row r="39">
      <c r="A39" s="52">
        <v>13.0</v>
      </c>
      <c r="B39" s="53">
        <v>1.0</v>
      </c>
      <c r="C39" s="10"/>
      <c r="D39" s="54">
        <v>0.0</v>
      </c>
      <c r="E39" s="8"/>
      <c r="F39" s="10"/>
      <c r="G39" s="46"/>
      <c r="H39" s="61">
        <v>13.0</v>
      </c>
      <c r="I39" s="10"/>
      <c r="J39" s="61">
        <f>VLOOKUP(H39,AUX!$A$2:$C$19,3,false)</f>
        <v>0</v>
      </c>
      <c r="K39" s="8"/>
      <c r="L39" s="10"/>
      <c r="M39" s="61" t="str">
        <f>VLOOKUP(H39,AUX!$A$2:$C$19,2,FALSE)</f>
        <v>-</v>
      </c>
      <c r="N39" s="8"/>
      <c r="O39" s="8"/>
      <c r="P39" s="8"/>
      <c r="Q39" s="8"/>
      <c r="R39" s="10"/>
      <c r="T39" s="50">
        <v>13.0</v>
      </c>
      <c r="U39" s="10"/>
      <c r="V39" s="50">
        <f>VLOOKUP(H39,AUX!$E$2:$G$19,3,false)</f>
        <v>0</v>
      </c>
      <c r="W39" s="8"/>
      <c r="X39" s="10"/>
      <c r="Y39" s="50" t="str">
        <f>VLOOKUP(T39,AUX!$A$2:$C$19,2,FALSE)</f>
        <v>-</v>
      </c>
      <c r="Z39" s="8"/>
      <c r="AA39" s="8"/>
      <c r="AB39" s="8"/>
      <c r="AC39" s="8"/>
      <c r="AD39" s="8"/>
      <c r="AE39" s="10"/>
      <c r="AP39" s="62"/>
      <c r="AQ39" s="62"/>
      <c r="AR39" s="62"/>
      <c r="AZ39" s="51"/>
      <c r="BA39" s="51"/>
      <c r="BB39" s="51"/>
      <c r="BC39" s="51"/>
      <c r="BD39" s="51"/>
      <c r="BE39" s="51"/>
      <c r="BF39" s="63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</row>
    <row r="40">
      <c r="A40" s="52">
        <v>14.0</v>
      </c>
      <c r="B40" s="53">
        <v>1.0</v>
      </c>
      <c r="C40" s="10"/>
      <c r="D40" s="54">
        <v>0.0</v>
      </c>
      <c r="E40" s="8"/>
      <c r="F40" s="10"/>
      <c r="G40" s="46"/>
      <c r="H40" s="61">
        <v>14.0</v>
      </c>
      <c r="I40" s="10"/>
      <c r="J40" s="61">
        <f>VLOOKUP(H40,AUX!$A$2:$C$19,3,false)</f>
        <v>0</v>
      </c>
      <c r="K40" s="8"/>
      <c r="L40" s="10"/>
      <c r="M40" s="61" t="str">
        <f>VLOOKUP(H40,AUX!$A$2:$C$19,2,FALSE)</f>
        <v>-</v>
      </c>
      <c r="N40" s="8"/>
      <c r="O40" s="8"/>
      <c r="P40" s="8"/>
      <c r="Q40" s="8"/>
      <c r="R40" s="10"/>
      <c r="T40" s="50">
        <v>14.0</v>
      </c>
      <c r="U40" s="10"/>
      <c r="V40" s="50">
        <f>VLOOKUP(H40,AUX!$E$2:$G$19,3,false)</f>
        <v>0</v>
      </c>
      <c r="W40" s="8"/>
      <c r="X40" s="10"/>
      <c r="Y40" s="50" t="str">
        <f>VLOOKUP(T40,AUX!$A$2:$C$19,2,FALSE)</f>
        <v>-</v>
      </c>
      <c r="Z40" s="8"/>
      <c r="AA40" s="8"/>
      <c r="AB40" s="8"/>
      <c r="AC40" s="8"/>
      <c r="AD40" s="8"/>
      <c r="AE40" s="10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</row>
    <row r="41">
      <c r="A41" s="52">
        <v>15.0</v>
      </c>
      <c r="B41" s="53">
        <v>1.0</v>
      </c>
      <c r="C41" s="10"/>
      <c r="D41" s="54">
        <v>0.0</v>
      </c>
      <c r="E41" s="8"/>
      <c r="F41" s="10"/>
      <c r="G41" s="46"/>
      <c r="H41" s="61">
        <v>15.0</v>
      </c>
      <c r="I41" s="10"/>
      <c r="J41" s="61">
        <f>VLOOKUP(H41,AUX!$A$2:$C$19,3,false)</f>
        <v>0</v>
      </c>
      <c r="K41" s="8"/>
      <c r="L41" s="10"/>
      <c r="M41" s="61" t="str">
        <f>VLOOKUP(H41,AUX!$A$2:$C$19,2,FALSE)</f>
        <v>-</v>
      </c>
      <c r="N41" s="8"/>
      <c r="O41" s="8"/>
      <c r="P41" s="8"/>
      <c r="Q41" s="8"/>
      <c r="R41" s="10"/>
      <c r="T41" s="50">
        <v>15.0</v>
      </c>
      <c r="U41" s="10"/>
      <c r="V41" s="50">
        <f>VLOOKUP(H41,AUX!$E$2:$G$19,3,false)</f>
        <v>0</v>
      </c>
      <c r="W41" s="8"/>
      <c r="X41" s="10"/>
      <c r="Y41" s="50" t="str">
        <f>VLOOKUP(T41,AUX!$A$2:$C$19,2,FALSE)</f>
        <v>-</v>
      </c>
      <c r="Z41" s="8"/>
      <c r="AA41" s="8"/>
      <c r="AB41" s="8"/>
      <c r="AC41" s="8"/>
      <c r="AD41" s="8"/>
      <c r="AE41" s="10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</row>
    <row r="42">
      <c r="A42" s="52" t="s">
        <v>16</v>
      </c>
      <c r="B42" s="53">
        <v>0.0</v>
      </c>
      <c r="C42" s="10"/>
      <c r="D42" s="54">
        <v>0.0</v>
      </c>
      <c r="E42" s="8"/>
      <c r="F42" s="10"/>
      <c r="G42" s="46"/>
      <c r="H42" s="50">
        <v>16.0</v>
      </c>
      <c r="I42" s="10"/>
      <c r="J42" s="61">
        <f>VLOOKUP(H42,AUX!$A$2:$C$19,3,false)</f>
        <v>0</v>
      </c>
      <c r="K42" s="8"/>
      <c r="L42" s="10"/>
      <c r="M42" s="61" t="str">
        <f>VLOOKUP(H42,AUX!$A$2:$C$19,2,FALSE)</f>
        <v>-</v>
      </c>
      <c r="N42" s="8"/>
      <c r="O42" s="8"/>
      <c r="P42" s="8"/>
      <c r="Q42" s="8"/>
      <c r="R42" s="10"/>
      <c r="T42" s="50">
        <v>16.0</v>
      </c>
      <c r="U42" s="10"/>
      <c r="V42" s="50">
        <f>VLOOKUP(H42,AUX!$E$2:$G$19,3,false)</f>
        <v>0</v>
      </c>
      <c r="W42" s="8"/>
      <c r="X42" s="10"/>
      <c r="Y42" s="50" t="str">
        <f>VLOOKUP(T42,AUX!$A$2:$C$19,2,FALSE)</f>
        <v>-</v>
      </c>
      <c r="Z42" s="8"/>
      <c r="AA42" s="8"/>
      <c r="AB42" s="8"/>
      <c r="AC42" s="8"/>
      <c r="AD42" s="8"/>
      <c r="AE42" s="10"/>
      <c r="AP42" s="62"/>
      <c r="AQ42" s="40"/>
      <c r="AR42" s="40"/>
      <c r="AS42" s="62"/>
      <c r="AT42" s="62"/>
      <c r="AU42" s="62"/>
      <c r="AV42" s="62"/>
      <c r="AW42" s="62"/>
      <c r="AX42" s="62"/>
      <c r="AY42" s="62"/>
      <c r="AZ42" s="40"/>
      <c r="BA42" s="40"/>
      <c r="BB42" s="40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</row>
    <row r="43">
      <c r="A43" s="52" t="s">
        <v>16</v>
      </c>
      <c r="B43" s="53">
        <v>0.0</v>
      </c>
      <c r="C43" s="10"/>
      <c r="D43" s="54">
        <v>0.0</v>
      </c>
      <c r="E43" s="8"/>
      <c r="F43" s="10"/>
      <c r="G43" s="46"/>
      <c r="H43" s="50">
        <v>17.0</v>
      </c>
      <c r="I43" s="10"/>
      <c r="J43" s="61">
        <f>VLOOKUP(H43,AUX!$A$2:$C$19,3,false)</f>
        <v>0</v>
      </c>
      <c r="K43" s="8"/>
      <c r="L43" s="10"/>
      <c r="M43" s="61" t="str">
        <f>VLOOKUP(H43,AUX!$A$2:$C$19,2,FALSE)</f>
        <v>-</v>
      </c>
      <c r="N43" s="8"/>
      <c r="O43" s="8"/>
      <c r="P43" s="8"/>
      <c r="Q43" s="8"/>
      <c r="R43" s="10"/>
      <c r="T43" s="50">
        <v>17.0</v>
      </c>
      <c r="U43" s="10"/>
      <c r="V43" s="50">
        <f>VLOOKUP(H43,AUX!$E$2:$G$19,3,false)</f>
        <v>0</v>
      </c>
      <c r="W43" s="8"/>
      <c r="X43" s="10"/>
      <c r="Y43" s="50" t="str">
        <f>VLOOKUP(T43,AUX!$A$2:$C$19,2,FALSE)</f>
        <v>-</v>
      </c>
      <c r="Z43" s="8"/>
      <c r="AA43" s="8"/>
      <c r="AB43" s="8"/>
      <c r="AC43" s="8"/>
      <c r="AD43" s="8"/>
      <c r="AE43" s="10"/>
      <c r="AP43" s="62"/>
      <c r="AQ43" s="40"/>
      <c r="AR43" s="40"/>
      <c r="AS43" s="62"/>
      <c r="AT43" s="62"/>
      <c r="AU43" s="62"/>
      <c r="AV43" s="62"/>
      <c r="AW43" s="62"/>
      <c r="AX43" s="62"/>
      <c r="AY43" s="62"/>
      <c r="AZ43" s="40"/>
      <c r="BA43" s="40"/>
      <c r="BB43" s="40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</row>
    <row r="44">
      <c r="A44" s="66" t="s">
        <v>38</v>
      </c>
      <c r="B44" s="8"/>
      <c r="C44" s="10"/>
      <c r="D44" s="54">
        <v>10.0</v>
      </c>
      <c r="E44" s="8"/>
      <c r="F44" s="10"/>
      <c r="G44" s="67"/>
      <c r="H44" s="50">
        <v>18.0</v>
      </c>
      <c r="I44" s="10"/>
      <c r="J44" s="61">
        <f>VLOOKUP(H44,AUX!$A$2:$C$19,3,false)</f>
        <v>0</v>
      </c>
      <c r="K44" s="8"/>
      <c r="L44" s="10"/>
      <c r="M44" s="61" t="str">
        <f>VLOOKUP(H44,AUX!$A$2:$C$19,2,FALSE)</f>
        <v>-</v>
      </c>
      <c r="N44" s="8"/>
      <c r="O44" s="8"/>
      <c r="P44" s="8"/>
      <c r="Q44" s="8"/>
      <c r="R44" s="10"/>
      <c r="T44" s="50">
        <v>18.0</v>
      </c>
      <c r="U44" s="10"/>
      <c r="V44" s="50">
        <f>VLOOKUP(H44,AUX!$E$2:$G$19,3,false)</f>
        <v>0</v>
      </c>
      <c r="W44" s="8"/>
      <c r="X44" s="10"/>
      <c r="Y44" s="50" t="str">
        <f>VLOOKUP(T44,AUX!$A$2:$C$19,2,FALSE)</f>
        <v>-</v>
      </c>
      <c r="Z44" s="8"/>
      <c r="AA44" s="8"/>
      <c r="AB44" s="8"/>
      <c r="AC44" s="8"/>
      <c r="AD44" s="8"/>
      <c r="AE44" s="10"/>
      <c r="AP44" s="62"/>
      <c r="AQ44" s="40"/>
      <c r="AR44" s="40"/>
      <c r="AS44" s="40"/>
      <c r="AT44" s="62"/>
      <c r="AU44" s="62"/>
      <c r="AV44" s="40"/>
      <c r="AW44" s="40"/>
      <c r="AX44" s="40"/>
      <c r="AY44" s="40"/>
      <c r="AZ44" s="40"/>
      <c r="BA44" s="40"/>
      <c r="BB44" s="40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</row>
  </sheetData>
  <mergeCells count="230">
    <mergeCell ref="Y31:AE31"/>
    <mergeCell ref="AH31:AI31"/>
    <mergeCell ref="AJ31:AK31"/>
    <mergeCell ref="AL31:AM31"/>
    <mergeCell ref="AO31:AQ31"/>
    <mergeCell ref="AR31:AT31"/>
    <mergeCell ref="B31:C31"/>
    <mergeCell ref="D31:F31"/>
    <mergeCell ref="H31:I31"/>
    <mergeCell ref="J31:L31"/>
    <mergeCell ref="M31:R31"/>
    <mergeCell ref="T31:U31"/>
    <mergeCell ref="V31:X31"/>
    <mergeCell ref="Y37:AE37"/>
    <mergeCell ref="AH37:AI37"/>
    <mergeCell ref="AJ37:AK37"/>
    <mergeCell ref="AL37:AM37"/>
    <mergeCell ref="B37:C37"/>
    <mergeCell ref="D37:F37"/>
    <mergeCell ref="H37:I37"/>
    <mergeCell ref="J37:L37"/>
    <mergeCell ref="M37:R37"/>
    <mergeCell ref="T37:U37"/>
    <mergeCell ref="V37:X37"/>
    <mergeCell ref="Y38:AE38"/>
    <mergeCell ref="AH38:AI38"/>
    <mergeCell ref="AJ38:AK38"/>
    <mergeCell ref="AL38:AM38"/>
    <mergeCell ref="B38:C38"/>
    <mergeCell ref="D38:F38"/>
    <mergeCell ref="H38:I38"/>
    <mergeCell ref="J38:L38"/>
    <mergeCell ref="M38:R38"/>
    <mergeCell ref="T38:U38"/>
    <mergeCell ref="V38:X38"/>
    <mergeCell ref="D39:F39"/>
    <mergeCell ref="H39:I39"/>
    <mergeCell ref="J39:L39"/>
    <mergeCell ref="M39:R39"/>
    <mergeCell ref="T39:U39"/>
    <mergeCell ref="V39:X39"/>
    <mergeCell ref="Y39:AE39"/>
    <mergeCell ref="B39:C39"/>
    <mergeCell ref="B40:C40"/>
    <mergeCell ref="D40:F40"/>
    <mergeCell ref="H40:I40"/>
    <mergeCell ref="J40:L40"/>
    <mergeCell ref="M40:R40"/>
    <mergeCell ref="T40:U40"/>
    <mergeCell ref="D41:F41"/>
    <mergeCell ref="H41:I41"/>
    <mergeCell ref="J41:L41"/>
    <mergeCell ref="M41:R41"/>
    <mergeCell ref="T41:U41"/>
    <mergeCell ref="V41:X41"/>
    <mergeCell ref="Y41:AE41"/>
    <mergeCell ref="V42:X42"/>
    <mergeCell ref="Y42:AE42"/>
    <mergeCell ref="B41:C41"/>
    <mergeCell ref="B42:C42"/>
    <mergeCell ref="D42:F42"/>
    <mergeCell ref="H42:I42"/>
    <mergeCell ref="J42:L42"/>
    <mergeCell ref="M42:R42"/>
    <mergeCell ref="T42:U42"/>
    <mergeCell ref="D43:F43"/>
    <mergeCell ref="H43:I43"/>
    <mergeCell ref="J43:L43"/>
    <mergeCell ref="M43:R43"/>
    <mergeCell ref="T43:U43"/>
    <mergeCell ref="V43:X43"/>
    <mergeCell ref="Y43:AE43"/>
    <mergeCell ref="V44:X44"/>
    <mergeCell ref="Y44:AE44"/>
    <mergeCell ref="B43:C43"/>
    <mergeCell ref="A44:C44"/>
    <mergeCell ref="D44:F44"/>
    <mergeCell ref="H44:I44"/>
    <mergeCell ref="J44:L44"/>
    <mergeCell ref="M44:R44"/>
    <mergeCell ref="T44:U44"/>
    <mergeCell ref="Y27:AE27"/>
    <mergeCell ref="AH27:AI27"/>
    <mergeCell ref="AJ27:AK27"/>
    <mergeCell ref="AL27:AM27"/>
    <mergeCell ref="AO27:AQ27"/>
    <mergeCell ref="AR27:AT27"/>
    <mergeCell ref="B27:C27"/>
    <mergeCell ref="D27:F27"/>
    <mergeCell ref="H27:I27"/>
    <mergeCell ref="J27:L27"/>
    <mergeCell ref="M27:R27"/>
    <mergeCell ref="T27:U27"/>
    <mergeCell ref="V27:X27"/>
    <mergeCell ref="Y28:AE28"/>
    <mergeCell ref="AH28:AI28"/>
    <mergeCell ref="AJ28:AK28"/>
    <mergeCell ref="AL28:AM28"/>
    <mergeCell ref="AO28:AQ28"/>
    <mergeCell ref="AR28:AT28"/>
    <mergeCell ref="B28:C28"/>
    <mergeCell ref="D28:F28"/>
    <mergeCell ref="H28:I28"/>
    <mergeCell ref="J28:L28"/>
    <mergeCell ref="M28:R28"/>
    <mergeCell ref="T28:U28"/>
    <mergeCell ref="V28:X28"/>
    <mergeCell ref="Y29:AE29"/>
    <mergeCell ref="AH29:AI29"/>
    <mergeCell ref="AJ29:AK29"/>
    <mergeCell ref="AL29:AM29"/>
    <mergeCell ref="AO29:AQ29"/>
    <mergeCell ref="AR29:AT29"/>
    <mergeCell ref="B29:C29"/>
    <mergeCell ref="D29:F29"/>
    <mergeCell ref="H29:I29"/>
    <mergeCell ref="J29:L29"/>
    <mergeCell ref="M29:R29"/>
    <mergeCell ref="T29:U29"/>
    <mergeCell ref="V29:X29"/>
    <mergeCell ref="V40:X40"/>
    <mergeCell ref="Y40:AE40"/>
    <mergeCell ref="A1:C1"/>
    <mergeCell ref="D1:G1"/>
    <mergeCell ref="H1:K1"/>
    <mergeCell ref="L1:O1"/>
    <mergeCell ref="P1:S1"/>
    <mergeCell ref="T1:W1"/>
    <mergeCell ref="X1:AA1"/>
    <mergeCell ref="BD1:BG1"/>
    <mergeCell ref="BH1:BK1"/>
    <mergeCell ref="BL1:BO1"/>
    <mergeCell ref="BP1:BS1"/>
    <mergeCell ref="BT1:BW1"/>
    <mergeCell ref="AB1:AE1"/>
    <mergeCell ref="AF1:AI1"/>
    <mergeCell ref="AJ1:AM1"/>
    <mergeCell ref="AN1:AQ1"/>
    <mergeCell ref="AR1:AU1"/>
    <mergeCell ref="AV1:AY1"/>
    <mergeCell ref="AZ1:BC1"/>
    <mergeCell ref="AO25:AR25"/>
    <mergeCell ref="AS25:AT25"/>
    <mergeCell ref="A22:BW22"/>
    <mergeCell ref="A23:BW23"/>
    <mergeCell ref="A24:BW24"/>
    <mergeCell ref="A25:F25"/>
    <mergeCell ref="H25:R25"/>
    <mergeCell ref="T25:AE25"/>
    <mergeCell ref="AG25:AM25"/>
    <mergeCell ref="AH26:AI26"/>
    <mergeCell ref="AJ26:AK26"/>
    <mergeCell ref="AL26:AM26"/>
    <mergeCell ref="AO26:AQ26"/>
    <mergeCell ref="AR26:AT26"/>
    <mergeCell ref="B26:C26"/>
    <mergeCell ref="H26:I26"/>
    <mergeCell ref="J26:L26"/>
    <mergeCell ref="M26:R26"/>
    <mergeCell ref="T26:U26"/>
    <mergeCell ref="V26:X26"/>
    <mergeCell ref="Y26:AE26"/>
    <mergeCell ref="Y30:AE30"/>
    <mergeCell ref="AH30:AI30"/>
    <mergeCell ref="AJ30:AK30"/>
    <mergeCell ref="AL30:AM30"/>
    <mergeCell ref="AO30:AQ30"/>
    <mergeCell ref="AR30:AT30"/>
    <mergeCell ref="B30:C30"/>
    <mergeCell ref="D30:F30"/>
    <mergeCell ref="H30:I30"/>
    <mergeCell ref="J30:L30"/>
    <mergeCell ref="M30:R30"/>
    <mergeCell ref="T30:U30"/>
    <mergeCell ref="V30:X30"/>
    <mergeCell ref="Y32:AE32"/>
    <mergeCell ref="AH32:AI32"/>
    <mergeCell ref="AJ32:AK32"/>
    <mergeCell ref="AL32:AM32"/>
    <mergeCell ref="B32:C32"/>
    <mergeCell ref="D32:F32"/>
    <mergeCell ref="H32:I32"/>
    <mergeCell ref="J32:L32"/>
    <mergeCell ref="M32:R32"/>
    <mergeCell ref="T32:U32"/>
    <mergeCell ref="V32:X32"/>
    <mergeCell ref="Y33:AE33"/>
    <mergeCell ref="AH33:AI33"/>
    <mergeCell ref="AJ33:AK33"/>
    <mergeCell ref="AL33:AM33"/>
    <mergeCell ref="B33:C33"/>
    <mergeCell ref="D33:F33"/>
    <mergeCell ref="H33:I33"/>
    <mergeCell ref="J33:L33"/>
    <mergeCell ref="M33:R33"/>
    <mergeCell ref="T33:U33"/>
    <mergeCell ref="V33:X33"/>
    <mergeCell ref="Y34:AE34"/>
    <mergeCell ref="AH34:AI34"/>
    <mergeCell ref="AJ34:AK34"/>
    <mergeCell ref="AL34:AM34"/>
    <mergeCell ref="B34:C34"/>
    <mergeCell ref="D34:F34"/>
    <mergeCell ref="H34:I34"/>
    <mergeCell ref="J34:L34"/>
    <mergeCell ref="M34:R34"/>
    <mergeCell ref="T34:U34"/>
    <mergeCell ref="V34:X34"/>
    <mergeCell ref="Y35:AE35"/>
    <mergeCell ref="AH35:AI35"/>
    <mergeCell ref="AJ35:AK35"/>
    <mergeCell ref="AL35:AM35"/>
    <mergeCell ref="B35:C35"/>
    <mergeCell ref="D35:F35"/>
    <mergeCell ref="H35:I35"/>
    <mergeCell ref="J35:L35"/>
    <mergeCell ref="M35:R35"/>
    <mergeCell ref="T35:U35"/>
    <mergeCell ref="V35:X35"/>
    <mergeCell ref="Y36:AE36"/>
    <mergeCell ref="AH36:AI36"/>
    <mergeCell ref="AJ36:AK36"/>
    <mergeCell ref="AL36:AM36"/>
    <mergeCell ref="B36:C36"/>
    <mergeCell ref="D36:F36"/>
    <mergeCell ref="H36:I36"/>
    <mergeCell ref="J36:L36"/>
    <mergeCell ref="M36:R36"/>
    <mergeCell ref="T36:U36"/>
    <mergeCell ref="V36:X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3.0"/>
    <col customWidth="1" min="2" max="2" width="14.57"/>
    <col customWidth="1" min="3" max="3" width="10.57"/>
    <col customWidth="1" min="5" max="5" width="9.86"/>
    <col customWidth="1" min="6" max="6" width="13.0"/>
    <col customWidth="1" min="7" max="7" width="10.57"/>
  </cols>
  <sheetData>
    <row r="1">
      <c r="A1" s="1" t="s">
        <v>0</v>
      </c>
      <c r="B1" s="1" t="s">
        <v>1</v>
      </c>
      <c r="C1" s="1" t="s">
        <v>2</v>
      </c>
      <c r="D1" s="2"/>
      <c r="E1" s="1" t="s">
        <v>0</v>
      </c>
      <c r="F1" s="1" t="s">
        <v>1</v>
      </c>
      <c r="G1" s="1" t="s">
        <v>3</v>
      </c>
      <c r="H1" s="3"/>
    </row>
    <row r="2">
      <c r="A2" s="4">
        <f t="shared" ref="A2:A19" si="1">_xlfn.RANK.EQ(C2,$C$2:$C$19,FALSE)+COUNTIF($C$2:C2,C2)-1</f>
        <v>1</v>
      </c>
      <c r="B2" s="5" t="str">
        <f>PONTUACAO!D1</f>
        <v>SERGIO</v>
      </c>
      <c r="C2" s="7">
        <f>PONTUACAO!G21</f>
        <v>279</v>
      </c>
      <c r="D2" s="9"/>
      <c r="E2" s="11">
        <f t="shared" ref="E2:E19" si="2">RANK(G2,$G$2:$G$19,FALSE)+COUNTIF($G$2:G2,G2)-1</f>
        <v>1</v>
      </c>
      <c r="F2" s="5" t="str">
        <f>PONTUACAO!D1</f>
        <v>SERGIO</v>
      </c>
      <c r="G2" s="5">
        <f>PONTUACAO!F21</f>
        <v>29</v>
      </c>
      <c r="H2" s="12"/>
      <c r="I2" s="5" t="str">
        <f>PONTUACAO!K1</f>
        <v/>
      </c>
    </row>
    <row r="3">
      <c r="A3" s="4">
        <f t="shared" si="1"/>
        <v>6</v>
      </c>
      <c r="B3" s="5" t="str">
        <f>PONTUACAO!H1</f>
        <v>FELIPE</v>
      </c>
      <c r="C3" s="7">
        <f>PONTUACAO!K21</f>
        <v>170</v>
      </c>
      <c r="D3" s="9"/>
      <c r="E3" s="11">
        <f t="shared" si="2"/>
        <v>5</v>
      </c>
      <c r="F3" s="5" t="str">
        <f>PONTUACAO!H1</f>
        <v>FELIPE</v>
      </c>
      <c r="G3" s="5">
        <f>PONTUACAO!J21</f>
        <v>14</v>
      </c>
      <c r="H3" s="12"/>
      <c r="I3" s="5" t="str">
        <f>PONTUACAO!O1</f>
        <v/>
      </c>
    </row>
    <row r="4">
      <c r="A4" s="4">
        <f t="shared" si="1"/>
        <v>2</v>
      </c>
      <c r="B4" s="5" t="str">
        <f>PONTUACAO!L1</f>
        <v>DANILO</v>
      </c>
      <c r="C4" s="7">
        <f>PONTUACAO!O21</f>
        <v>255</v>
      </c>
      <c r="D4" s="9"/>
      <c r="E4" s="11">
        <f t="shared" si="2"/>
        <v>3</v>
      </c>
      <c r="F4" s="5" t="str">
        <f>PONTUACAO!L1</f>
        <v>DANILO</v>
      </c>
      <c r="G4" s="5">
        <f>PONTUACAO!N21</f>
        <v>18</v>
      </c>
      <c r="H4" s="12"/>
      <c r="I4" s="5" t="str">
        <f>PONTUACAO!S1</f>
        <v/>
      </c>
    </row>
    <row r="5">
      <c r="A5" s="4">
        <f t="shared" si="1"/>
        <v>4</v>
      </c>
      <c r="B5" s="5" t="str">
        <f>PONTUACAO!P1</f>
        <v>EDINHO</v>
      </c>
      <c r="C5" s="7">
        <f>PONTUACAO!S21</f>
        <v>223</v>
      </c>
      <c r="D5" s="9"/>
      <c r="E5" s="11">
        <f t="shared" si="2"/>
        <v>4</v>
      </c>
      <c r="F5" s="5" t="str">
        <f>PONTUACAO!P1</f>
        <v>EDINHO</v>
      </c>
      <c r="G5" s="5">
        <f>PONTUACAO!R21</f>
        <v>17</v>
      </c>
      <c r="H5" s="12"/>
      <c r="I5" s="5" t="str">
        <f>PONTUACAO!W1</f>
        <v/>
      </c>
    </row>
    <row r="6">
      <c r="A6" s="4">
        <f t="shared" si="1"/>
        <v>3</v>
      </c>
      <c r="B6" s="5" t="str">
        <f>PONTUACAO!T1</f>
        <v>NINO</v>
      </c>
      <c r="C6" s="7">
        <f>PONTUACAO!W21</f>
        <v>233</v>
      </c>
      <c r="D6" s="9"/>
      <c r="E6" s="11">
        <f t="shared" si="2"/>
        <v>2</v>
      </c>
      <c r="F6" s="5" t="str">
        <f>PONTUACAO!T1</f>
        <v>NINO</v>
      </c>
      <c r="G6" s="5">
        <f>PONTUACAO!V21</f>
        <v>25</v>
      </c>
      <c r="H6" s="12"/>
      <c r="I6" s="5" t="str">
        <f>PONTUACAO!AA1</f>
        <v/>
      </c>
    </row>
    <row r="7">
      <c r="A7" s="4">
        <f t="shared" si="1"/>
        <v>8</v>
      </c>
      <c r="B7" s="5" t="str">
        <f>PONTUACAO!X1</f>
        <v>CARLÃO</v>
      </c>
      <c r="C7" s="7">
        <f>PONTUACAO!AA21</f>
        <v>133</v>
      </c>
      <c r="D7" s="9"/>
      <c r="E7" s="11">
        <f t="shared" si="2"/>
        <v>9</v>
      </c>
      <c r="F7" s="5" t="str">
        <f>PONTUACAO!X1</f>
        <v>CARLÃO</v>
      </c>
      <c r="G7" s="5">
        <f>PONTUACAO!Z21</f>
        <v>7</v>
      </c>
      <c r="H7" s="12"/>
      <c r="I7" s="5" t="str">
        <f>PONTUACAO!AE1</f>
        <v/>
      </c>
    </row>
    <row r="8">
      <c r="A8" s="4">
        <f t="shared" si="1"/>
        <v>9</v>
      </c>
      <c r="B8" s="5" t="str">
        <f>PONTUACAO!AB1</f>
        <v>GRANDE</v>
      </c>
      <c r="C8" s="7">
        <f>PONTUACAO!AE21</f>
        <v>129</v>
      </c>
      <c r="D8" s="9"/>
      <c r="E8" s="11">
        <f t="shared" si="2"/>
        <v>8</v>
      </c>
      <c r="F8" s="5" t="str">
        <f>PONTUACAO!AB1</f>
        <v>GRANDE</v>
      </c>
      <c r="G8" s="5">
        <f>PONTUACAO!AD21</f>
        <v>8</v>
      </c>
      <c r="H8" s="12"/>
      <c r="I8" s="5" t="str">
        <f>PONTUACAO!AI1</f>
        <v/>
      </c>
    </row>
    <row r="9">
      <c r="A9" s="4">
        <f t="shared" si="1"/>
        <v>7</v>
      </c>
      <c r="B9" s="5" t="str">
        <f>PONTUACAO!AF1</f>
        <v>ENIO</v>
      </c>
      <c r="C9" s="7">
        <f>PONTUACAO!AI21</f>
        <v>165</v>
      </c>
      <c r="D9" s="9"/>
      <c r="E9" s="11">
        <f t="shared" si="2"/>
        <v>7</v>
      </c>
      <c r="F9" s="5" t="str">
        <f>PONTUACAO!AF1</f>
        <v>ENIO</v>
      </c>
      <c r="G9" s="5">
        <f>PONTUACAO!AH21</f>
        <v>9</v>
      </c>
      <c r="H9" s="12"/>
      <c r="I9" s="5" t="str">
        <f>PONTUACAO!AM1</f>
        <v/>
      </c>
    </row>
    <row r="10">
      <c r="A10" s="4">
        <f t="shared" si="1"/>
        <v>5</v>
      </c>
      <c r="B10" s="5" t="str">
        <f>PONTUACAO!AJ1</f>
        <v>UEDA</v>
      </c>
      <c r="C10" s="7">
        <f>PONTUACAO!AM21</f>
        <v>184</v>
      </c>
      <c r="D10" s="9"/>
      <c r="E10" s="11">
        <f t="shared" si="2"/>
        <v>6</v>
      </c>
      <c r="F10" s="5" t="str">
        <f>PONTUACAO!AJ1</f>
        <v>UEDA</v>
      </c>
      <c r="G10" s="5">
        <f>PONTUACAO!AL21</f>
        <v>11</v>
      </c>
      <c r="H10" s="12"/>
      <c r="I10" s="5" t="str">
        <f>PONTUACAO!AQ1</f>
        <v/>
      </c>
    </row>
    <row r="11">
      <c r="A11" s="4">
        <f t="shared" si="1"/>
        <v>12</v>
      </c>
      <c r="B11" s="5" t="str">
        <f>PONTUACAO!AN1</f>
        <v>MICA</v>
      </c>
      <c r="C11" s="7">
        <f>PONTUACAO!AQ21</f>
        <v>0</v>
      </c>
      <c r="D11" s="9"/>
      <c r="E11" s="11">
        <f t="shared" si="2"/>
        <v>12</v>
      </c>
      <c r="F11" s="5" t="str">
        <f>PONTUACAO!AN1</f>
        <v>MICA</v>
      </c>
      <c r="G11" s="5">
        <f>PONTUACAO!AP21</f>
        <v>0</v>
      </c>
      <c r="H11" s="12"/>
      <c r="I11" s="5" t="str">
        <f>PONTUACAO!AU1</f>
        <v/>
      </c>
    </row>
    <row r="12">
      <c r="A12" s="4">
        <f t="shared" si="1"/>
        <v>11</v>
      </c>
      <c r="B12" s="5" t="str">
        <f>PONTUACAO!AR1</f>
        <v>TURATI</v>
      </c>
      <c r="C12" s="7">
        <f>PONTUACAO!AU21</f>
        <v>20</v>
      </c>
      <c r="D12" s="9"/>
      <c r="E12" s="11">
        <f t="shared" si="2"/>
        <v>10</v>
      </c>
      <c r="F12" s="5" t="str">
        <f>PONTUACAO!AR1</f>
        <v>TURATI</v>
      </c>
      <c r="G12" s="5">
        <f>PONTUACAO!AT21</f>
        <v>2</v>
      </c>
      <c r="H12" s="12"/>
      <c r="I12" s="5" t="str">
        <f>PONTUACAO!AY1</f>
        <v/>
      </c>
    </row>
    <row r="13">
      <c r="A13" s="4">
        <f t="shared" si="1"/>
        <v>10</v>
      </c>
      <c r="B13" s="5" t="str">
        <f>PONTUACAO!AV1</f>
        <v>ALEXANDRE</v>
      </c>
      <c r="C13" s="7">
        <f>PONTUACAO!AY21</f>
        <v>27</v>
      </c>
      <c r="D13" s="9"/>
      <c r="E13" s="11">
        <f t="shared" si="2"/>
        <v>11</v>
      </c>
      <c r="F13" s="5" t="str">
        <f>PONTUACAO!AV1</f>
        <v>ALEXANDRE</v>
      </c>
      <c r="G13" s="5">
        <f>PONTUACAO!AX21</f>
        <v>1</v>
      </c>
      <c r="H13" s="22"/>
      <c r="I13" s="5" t="str">
        <f>PONTUACAO!BC1</f>
        <v/>
      </c>
    </row>
    <row r="14">
      <c r="A14" s="4">
        <f t="shared" si="1"/>
        <v>13</v>
      </c>
      <c r="B14" s="5" t="str">
        <f>PONTUACAO!AZ1</f>
        <v>-</v>
      </c>
      <c r="C14" s="7">
        <f>PONTUACAO!BC21</f>
        <v>0</v>
      </c>
      <c r="D14" s="9"/>
      <c r="E14" s="11">
        <f t="shared" si="2"/>
        <v>13</v>
      </c>
      <c r="F14" s="5" t="str">
        <f>PONTUACAO!D13</f>
        <v>-</v>
      </c>
      <c r="G14" s="5">
        <f>PONTUACAO!BB21</f>
        <v>0</v>
      </c>
      <c r="H14" s="22"/>
      <c r="I14" s="5" t="str">
        <f>PONTUACAO!BG1</f>
        <v/>
      </c>
    </row>
    <row r="15">
      <c r="A15" s="4">
        <f t="shared" si="1"/>
        <v>14</v>
      </c>
      <c r="B15" s="5" t="str">
        <f>PONTUACAO!BD1</f>
        <v>-</v>
      </c>
      <c r="C15" s="7">
        <f>PONTUACAO!BG21</f>
        <v>0</v>
      </c>
      <c r="D15" s="9"/>
      <c r="E15" s="11">
        <f t="shared" si="2"/>
        <v>14</v>
      </c>
      <c r="F15" s="5" t="str">
        <f>PONTUACAO!H13</f>
        <v>-</v>
      </c>
      <c r="G15" s="5">
        <f>PONTUACAO!BF21</f>
        <v>0</v>
      </c>
      <c r="H15" s="22"/>
      <c r="I15" s="5" t="str">
        <f>PONTUACAO!BK1</f>
        <v/>
      </c>
    </row>
    <row r="16">
      <c r="A16" s="4">
        <f t="shared" si="1"/>
        <v>15</v>
      </c>
      <c r="B16" s="5" t="str">
        <f>PONTUACAO!BH1</f>
        <v>-</v>
      </c>
      <c r="C16" s="7">
        <f>PONTUACAO!BK21</f>
        <v>0</v>
      </c>
      <c r="D16" s="9"/>
      <c r="E16" s="11">
        <f t="shared" si="2"/>
        <v>15</v>
      </c>
      <c r="F16" s="5" t="str">
        <f>PONTUACAO!L13</f>
        <v>-</v>
      </c>
      <c r="G16" s="5">
        <f>PONTUACAO!BJ21</f>
        <v>0</v>
      </c>
      <c r="H16" s="22"/>
      <c r="I16" s="5" t="str">
        <f>PONTUACAO!BO1</f>
        <v/>
      </c>
    </row>
    <row r="17">
      <c r="A17" s="4">
        <f t="shared" si="1"/>
        <v>16</v>
      </c>
      <c r="B17" s="5" t="str">
        <f>PONTUACAO!BL1</f>
        <v>-</v>
      </c>
      <c r="C17" s="7">
        <f>PONTUACAO!BO21</f>
        <v>0</v>
      </c>
      <c r="D17" s="9"/>
      <c r="E17" s="11">
        <f t="shared" si="2"/>
        <v>16</v>
      </c>
      <c r="F17" s="5" t="str">
        <f>PONTUACAO!BP1</f>
        <v>-</v>
      </c>
      <c r="G17" s="5">
        <f>PONTUACAO!BN21</f>
        <v>0</v>
      </c>
      <c r="H17" s="22"/>
      <c r="I17" s="5" t="str">
        <f>PONTUACAO!BS1</f>
        <v/>
      </c>
    </row>
    <row r="18">
      <c r="A18" s="4">
        <f t="shared" si="1"/>
        <v>17</v>
      </c>
      <c r="B18" s="5" t="str">
        <f>PONTUACAO!BP1</f>
        <v>-</v>
      </c>
      <c r="C18" s="7">
        <f>PONTUACAO!BS21</f>
        <v>0</v>
      </c>
      <c r="D18" s="9"/>
      <c r="E18" s="11">
        <f t="shared" si="2"/>
        <v>17</v>
      </c>
      <c r="F18" s="5" t="str">
        <f>PONTUACAO!BT1</f>
        <v>-</v>
      </c>
      <c r="G18" s="5">
        <f>PONTUACAO!BR21</f>
        <v>0</v>
      </c>
      <c r="H18" s="22"/>
      <c r="I18" s="5" t="str">
        <f>PONTUACAO!BW1</f>
        <v/>
      </c>
    </row>
    <row r="19">
      <c r="A19" s="4">
        <f t="shared" si="1"/>
        <v>18</v>
      </c>
      <c r="B19" s="5" t="str">
        <f>PONTUACAO!BT1</f>
        <v>-</v>
      </c>
      <c r="C19" s="7">
        <f>PONTUACAO!BW21</f>
        <v>0</v>
      </c>
      <c r="D19" s="9"/>
      <c r="E19" s="11">
        <f t="shared" si="2"/>
        <v>18</v>
      </c>
      <c r="F19" s="5" t="str">
        <f>PONTUACAO!BX1</f>
        <v/>
      </c>
      <c r="G19" s="5">
        <f>PONTUACAO!BV21</f>
        <v>0</v>
      </c>
      <c r="H19" s="22"/>
      <c r="I19" s="5" t="str">
        <f>PONTUACAO!CA1</f>
        <v/>
      </c>
    </row>
    <row r="20">
      <c r="A20" s="23"/>
      <c r="B20" s="23"/>
      <c r="C20" s="23"/>
      <c r="D20" s="23"/>
      <c r="E20" s="23"/>
      <c r="F20" s="23"/>
      <c r="G20" s="23"/>
    </row>
    <row r="21">
      <c r="A21" s="23"/>
      <c r="B21" s="23"/>
      <c r="C21" s="23"/>
      <c r="D21" s="23"/>
      <c r="E21" s="23"/>
      <c r="F21" s="23"/>
      <c r="G21" s="23"/>
    </row>
  </sheetData>
  <drawing r:id="rId1"/>
</worksheet>
</file>